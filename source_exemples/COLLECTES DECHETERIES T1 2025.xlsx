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Utilisateurs\Solene\SOLENE\Emmaus Environnement\DECHETTERIES\GDR recyclerie\"/>
    </mc:Choice>
  </mc:AlternateContent>
  <bookViews>
    <workbookView xWindow="0" yWindow="-120" windowWidth="3630" windowHeight="7740" activeTab="1"/>
  </bookViews>
  <sheets>
    <sheet name="Feuil1" sheetId="1" r:id="rId1"/>
    <sheet name="CALCUL POIDS" sheetId="2" r:id="rId2"/>
  </sheets>
  <definedNames>
    <definedName name="_xlnm.Print_Area" localSheetId="1">'CALCUL POIDS'!$A$1:$T$94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J8" i="2"/>
  <c r="J7" i="2"/>
  <c r="J6" i="2"/>
  <c r="I6" i="2"/>
  <c r="B8" i="2"/>
  <c r="S8" i="2" s="1"/>
  <c r="T8" i="2" s="1"/>
  <c r="B7" i="2"/>
  <c r="B6" i="2"/>
  <c r="E5" i="2"/>
  <c r="D5" i="2"/>
  <c r="D4" i="2"/>
  <c r="D16" i="2" s="1"/>
  <c r="B5" i="2"/>
  <c r="M4" i="2"/>
  <c r="K4" i="2"/>
  <c r="E4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T75" i="2"/>
  <c r="S75" i="2"/>
  <c r="S74" i="2"/>
  <c r="T74" i="2" s="1"/>
  <c r="S73" i="2"/>
  <c r="T73" i="2" s="1"/>
  <c r="S72" i="2"/>
  <c r="T72" i="2" s="1"/>
  <c r="S71" i="2"/>
  <c r="T71" i="2" s="1"/>
  <c r="S70" i="2"/>
  <c r="T70" i="2" s="1"/>
  <c r="S69" i="2"/>
  <c r="T69" i="2" s="1"/>
  <c r="S68" i="2"/>
  <c r="T68" i="2" s="1"/>
  <c r="S67" i="2"/>
  <c r="T67" i="2" s="1"/>
  <c r="U69" i="2" s="1"/>
  <c r="S66" i="2"/>
  <c r="T66" i="2" s="1"/>
  <c r="S65" i="2"/>
  <c r="T65" i="2" s="1"/>
  <c r="S64" i="2"/>
  <c r="T64" i="2" s="1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S60" i="2"/>
  <c r="T60" i="2" s="1"/>
  <c r="S59" i="2"/>
  <c r="T59" i="2" s="1"/>
  <c r="T58" i="2"/>
  <c r="S58" i="2"/>
  <c r="S57" i="2"/>
  <c r="T57" i="2" s="1"/>
  <c r="S56" i="2"/>
  <c r="T56" i="2" s="1"/>
  <c r="S55" i="2"/>
  <c r="T55" i="2" s="1"/>
  <c r="S54" i="2"/>
  <c r="T54" i="2" s="1"/>
  <c r="S53" i="2"/>
  <c r="T53" i="2" s="1"/>
  <c r="S52" i="2"/>
  <c r="T52" i="2" s="1"/>
  <c r="S51" i="2"/>
  <c r="T51" i="2" s="1"/>
  <c r="S50" i="2"/>
  <c r="S49" i="2"/>
  <c r="T49" i="2" s="1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S45" i="2"/>
  <c r="T45" i="2" s="1"/>
  <c r="S44" i="2"/>
  <c r="T44" i="2" s="1"/>
  <c r="S43" i="2"/>
  <c r="T43" i="2" s="1"/>
  <c r="S42" i="2"/>
  <c r="T42" i="2" s="1"/>
  <c r="T41" i="2"/>
  <c r="S41" i="2"/>
  <c r="S40" i="2"/>
  <c r="T40" i="2" s="1"/>
  <c r="S39" i="2"/>
  <c r="T39" i="2" s="1"/>
  <c r="S38" i="2"/>
  <c r="T38" i="2" s="1"/>
  <c r="S37" i="2"/>
  <c r="T37" i="2" s="1"/>
  <c r="S36" i="2"/>
  <c r="T36" i="2" s="1"/>
  <c r="S35" i="2"/>
  <c r="T35" i="2" s="1"/>
  <c r="S34" i="2"/>
  <c r="T34" i="2" s="1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T30" i="2"/>
  <c r="S30" i="2"/>
  <c r="S29" i="2"/>
  <c r="T29" i="2" s="1"/>
  <c r="S28" i="2"/>
  <c r="T28" i="2" s="1"/>
  <c r="S27" i="2"/>
  <c r="T27" i="2" s="1"/>
  <c r="S26" i="2"/>
  <c r="T26" i="2" s="1"/>
  <c r="S25" i="2"/>
  <c r="T25" i="2" s="1"/>
  <c r="S24" i="2"/>
  <c r="T24" i="2" s="1"/>
  <c r="S23" i="2"/>
  <c r="T23" i="2" s="1"/>
  <c r="S22" i="2"/>
  <c r="T22" i="2" s="1"/>
  <c r="S21" i="2"/>
  <c r="S20" i="2"/>
  <c r="T20" i="2" s="1"/>
  <c r="S19" i="2"/>
  <c r="T19" i="2" s="1"/>
  <c r="R16" i="2"/>
  <c r="Q16" i="2"/>
  <c r="P16" i="2"/>
  <c r="O16" i="2"/>
  <c r="N16" i="2"/>
  <c r="M16" i="2"/>
  <c r="L16" i="2"/>
  <c r="H16" i="2"/>
  <c r="G16" i="2"/>
  <c r="S15" i="2"/>
  <c r="T15" i="2" s="1"/>
  <c r="S14" i="2"/>
  <c r="T14" i="2" s="1"/>
  <c r="S13" i="2"/>
  <c r="T13" i="2" s="1"/>
  <c r="S12" i="2"/>
  <c r="T12" i="2" s="1"/>
  <c r="S11" i="2"/>
  <c r="T11" i="2" s="1"/>
  <c r="S10" i="2"/>
  <c r="T10" i="2" s="1"/>
  <c r="S9" i="2"/>
  <c r="T9" i="2" s="1"/>
  <c r="T76" i="2" l="1"/>
  <c r="S6" i="2"/>
  <c r="T6" i="2" s="1"/>
  <c r="R80" i="2"/>
  <c r="R82" i="2" s="1"/>
  <c r="U39" i="2"/>
  <c r="S76" i="2"/>
  <c r="P80" i="2"/>
  <c r="P83" i="2" s="1"/>
  <c r="U54" i="2"/>
  <c r="U36" i="2"/>
  <c r="P82" i="2"/>
  <c r="P84" i="2"/>
  <c r="C16" i="2"/>
  <c r="C80" i="2" s="1"/>
  <c r="C84" i="2" s="1"/>
  <c r="U24" i="2"/>
  <c r="B16" i="2"/>
  <c r="B80" i="2" s="1"/>
  <c r="B85" i="2" s="1"/>
  <c r="E16" i="2"/>
  <c r="E80" i="2" s="1"/>
  <c r="S5" i="2"/>
  <c r="T5" i="2" s="1"/>
  <c r="J16" i="2"/>
  <c r="S7" i="2"/>
  <c r="T7" i="2" s="1"/>
  <c r="U9" i="2" s="1"/>
  <c r="I16" i="2"/>
  <c r="S4" i="2"/>
  <c r="T21" i="2"/>
  <c r="T31" i="2" s="1"/>
  <c r="F16" i="2"/>
  <c r="F80" i="2" s="1"/>
  <c r="F85" i="2" s="1"/>
  <c r="L80" i="2"/>
  <c r="L84" i="2" s="1"/>
  <c r="K16" i="2"/>
  <c r="D80" i="2"/>
  <c r="D84" i="2" s="1"/>
  <c r="P85" i="2"/>
  <c r="T46" i="2"/>
  <c r="R83" i="2"/>
  <c r="R85" i="2"/>
  <c r="R84" i="2"/>
  <c r="S61" i="2"/>
  <c r="M80" i="2"/>
  <c r="M84" i="2" s="1"/>
  <c r="N80" i="2"/>
  <c r="N85" i="2" s="1"/>
  <c r="S31" i="2"/>
  <c r="S46" i="2"/>
  <c r="O80" i="2"/>
  <c r="O83" i="2" s="1"/>
  <c r="H80" i="2"/>
  <c r="H84" i="2" s="1"/>
  <c r="Q80" i="2"/>
  <c r="G80" i="2"/>
  <c r="G83" i="2" s="1"/>
  <c r="T50" i="2"/>
  <c r="U51" i="2" s="1"/>
  <c r="U66" i="2"/>
  <c r="J80" i="2"/>
  <c r="J85" i="2" s="1"/>
  <c r="K80" i="2"/>
  <c r="K83" i="2" s="1"/>
  <c r="D85" i="2" l="1"/>
  <c r="D83" i="2"/>
  <c r="G94" i="2"/>
  <c r="D82" i="2"/>
  <c r="T61" i="2"/>
  <c r="S16" i="2"/>
  <c r="I80" i="2"/>
  <c r="I84" i="2" s="1"/>
  <c r="U21" i="2"/>
  <c r="L85" i="2"/>
  <c r="L83" i="2"/>
  <c r="L82" i="2"/>
  <c r="T4" i="2"/>
  <c r="U6" i="2" s="1"/>
  <c r="G85" i="2"/>
  <c r="F84" i="2"/>
  <c r="F83" i="2"/>
  <c r="F82" i="2"/>
  <c r="C85" i="2"/>
  <c r="H82" i="2"/>
  <c r="G84" i="2"/>
  <c r="G82" i="2"/>
  <c r="K84" i="2"/>
  <c r="K82" i="2"/>
  <c r="C83" i="2"/>
  <c r="G93" i="2"/>
  <c r="R93" i="2" s="1"/>
  <c r="J82" i="2"/>
  <c r="J84" i="2"/>
  <c r="N84" i="2"/>
  <c r="N83" i="2"/>
  <c r="M85" i="2"/>
  <c r="C82" i="2"/>
  <c r="Q83" i="2"/>
  <c r="Q85" i="2"/>
  <c r="M83" i="2"/>
  <c r="M82" i="2"/>
  <c r="B84" i="2"/>
  <c r="B83" i="2"/>
  <c r="O85" i="2"/>
  <c r="O84" i="2"/>
  <c r="E85" i="2"/>
  <c r="E83" i="2"/>
  <c r="E82" i="2"/>
  <c r="J83" i="2"/>
  <c r="Q84" i="2"/>
  <c r="K85" i="2"/>
  <c r="O82" i="2"/>
  <c r="H85" i="2"/>
  <c r="E84" i="2"/>
  <c r="N82" i="2"/>
  <c r="Q82" i="2"/>
  <c r="H83" i="2"/>
  <c r="B82" i="2"/>
  <c r="I83" i="2" l="1"/>
  <c r="S80" i="2"/>
  <c r="S84" i="2" s="1"/>
  <c r="I82" i="2"/>
  <c r="I85" i="2"/>
  <c r="T16" i="2"/>
  <c r="S82" i="2" l="1"/>
  <c r="U31" i="2"/>
  <c r="U16" i="2"/>
  <c r="U76" i="2"/>
  <c r="R89" i="2"/>
  <c r="U80" i="2"/>
  <c r="U46" i="2"/>
  <c r="U61" i="2"/>
  <c r="S85" i="2"/>
  <c r="S83" i="2"/>
  <c r="S93" i="2" l="1"/>
  <c r="R91" i="2"/>
  <c r="S91" i="2" s="1"/>
  <c r="S6" i="1" l="1"/>
  <c r="T6" i="1" s="1"/>
  <c r="J16" i="1" l="1"/>
  <c r="J76" i="1"/>
  <c r="D76" i="1"/>
  <c r="J61" i="1"/>
  <c r="D61" i="1"/>
  <c r="J46" i="1"/>
  <c r="D46" i="1"/>
  <c r="J31" i="1"/>
  <c r="D31" i="1"/>
  <c r="D16" i="1"/>
  <c r="J80" i="1" l="1"/>
  <c r="G93" i="1" s="1"/>
  <c r="D80" i="1"/>
  <c r="G94" i="1" s="1"/>
  <c r="S23" i="1" l="1"/>
  <c r="T23" i="1" s="1"/>
  <c r="S52" i="1"/>
  <c r="T52" i="1" s="1"/>
  <c r="J85" i="1"/>
  <c r="D85" i="1"/>
  <c r="J82" i="1" l="1"/>
  <c r="J84" i="1"/>
  <c r="J83" i="1"/>
  <c r="D83" i="1"/>
  <c r="D84" i="1"/>
  <c r="D82" i="1"/>
  <c r="C76" i="1" l="1"/>
  <c r="E76" i="1"/>
  <c r="F76" i="1"/>
  <c r="G76" i="1"/>
  <c r="H76" i="1"/>
  <c r="I76" i="1"/>
  <c r="K76" i="1"/>
  <c r="L76" i="1"/>
  <c r="M76" i="1"/>
  <c r="N76" i="1"/>
  <c r="O76" i="1"/>
  <c r="P76" i="1"/>
  <c r="Q76" i="1"/>
  <c r="R76" i="1"/>
  <c r="B76" i="1"/>
  <c r="C61" i="1"/>
  <c r="E61" i="1"/>
  <c r="F61" i="1"/>
  <c r="G61" i="1"/>
  <c r="H61" i="1"/>
  <c r="I61" i="1"/>
  <c r="K61" i="1"/>
  <c r="L61" i="1"/>
  <c r="M61" i="1"/>
  <c r="N61" i="1"/>
  <c r="O61" i="1"/>
  <c r="P61" i="1"/>
  <c r="Q61" i="1"/>
  <c r="R61" i="1"/>
  <c r="B61" i="1"/>
  <c r="C16" i="1"/>
  <c r="E16" i="1"/>
  <c r="F16" i="1"/>
  <c r="G16" i="1"/>
  <c r="H16" i="1"/>
  <c r="H80" i="1" s="1"/>
  <c r="I16" i="1"/>
  <c r="I80" i="1" s="1"/>
  <c r="K16" i="1"/>
  <c r="L16" i="1"/>
  <c r="M16" i="1"/>
  <c r="N16" i="1"/>
  <c r="O16" i="1"/>
  <c r="P16" i="1"/>
  <c r="Q16" i="1"/>
  <c r="R16" i="1"/>
  <c r="C31" i="1"/>
  <c r="E31" i="1"/>
  <c r="F31" i="1"/>
  <c r="G31" i="1"/>
  <c r="H31" i="1"/>
  <c r="I31" i="1"/>
  <c r="K31" i="1"/>
  <c r="L31" i="1"/>
  <c r="M31" i="1"/>
  <c r="N31" i="1"/>
  <c r="O31" i="1"/>
  <c r="P31" i="1"/>
  <c r="Q31" i="1"/>
  <c r="R31" i="1"/>
  <c r="B31" i="1"/>
  <c r="C46" i="1"/>
  <c r="E46" i="1"/>
  <c r="F46" i="1"/>
  <c r="G46" i="1"/>
  <c r="H46" i="1"/>
  <c r="I46" i="1"/>
  <c r="K46" i="1"/>
  <c r="L46" i="1"/>
  <c r="M46" i="1"/>
  <c r="N46" i="1"/>
  <c r="O46" i="1"/>
  <c r="P46" i="1"/>
  <c r="Q46" i="1"/>
  <c r="R46" i="1"/>
  <c r="B46" i="1"/>
  <c r="Q80" i="1" l="1"/>
  <c r="C80" i="1"/>
  <c r="F80" i="1"/>
  <c r="L80" i="1"/>
  <c r="P80" i="1"/>
  <c r="O80" i="1"/>
  <c r="M80" i="1"/>
  <c r="K80" i="1"/>
  <c r="R80" i="1"/>
  <c r="E80" i="1"/>
  <c r="G80" i="1"/>
  <c r="N80" i="1"/>
  <c r="S46" i="1"/>
  <c r="S5" i="1" l="1"/>
  <c r="T5" i="1" s="1"/>
  <c r="Q85" i="1"/>
  <c r="Q84" i="1"/>
  <c r="Q83" i="1"/>
  <c r="Q82" i="1"/>
  <c r="K85" i="1"/>
  <c r="K84" i="1"/>
  <c r="K83" i="1"/>
  <c r="K82" i="1"/>
  <c r="P85" i="1"/>
  <c r="P84" i="1"/>
  <c r="P83" i="1"/>
  <c r="P82" i="1"/>
  <c r="O85" i="1"/>
  <c r="O84" i="1"/>
  <c r="O83" i="1"/>
  <c r="O82" i="1"/>
  <c r="S75" i="1"/>
  <c r="T75" i="1" s="1"/>
  <c r="S74" i="1"/>
  <c r="T74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U66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U54" i="1" s="1"/>
  <c r="S51" i="1"/>
  <c r="T51" i="1" s="1"/>
  <c r="S50" i="1"/>
  <c r="S49" i="1"/>
  <c r="T49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2" i="1"/>
  <c r="T22" i="1" s="1"/>
  <c r="U24" i="1" s="1"/>
  <c r="S21" i="1"/>
  <c r="T21" i="1" s="1"/>
  <c r="S20" i="1"/>
  <c r="T20" i="1" s="1"/>
  <c r="S19" i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U9" i="1" s="1"/>
  <c r="U39" i="1" l="1"/>
  <c r="U69" i="1"/>
  <c r="U51" i="1"/>
  <c r="T50" i="1"/>
  <c r="T34" i="1"/>
  <c r="U36" i="1"/>
  <c r="U21" i="1"/>
  <c r="T19" i="1"/>
  <c r="T31" i="1"/>
  <c r="T61" i="1"/>
  <c r="T46" i="1"/>
  <c r="E82" i="1"/>
  <c r="I82" i="1"/>
  <c r="L84" i="1"/>
  <c r="G85" i="1"/>
  <c r="S76" i="1"/>
  <c r="S31" i="1"/>
  <c r="H84" i="1"/>
  <c r="M83" i="1"/>
  <c r="S61" i="1"/>
  <c r="F82" i="1"/>
  <c r="N85" i="1"/>
  <c r="R85" i="1"/>
  <c r="S73" i="1"/>
  <c r="T73" i="1" s="1"/>
  <c r="T76" i="1" s="1"/>
  <c r="C83" i="1"/>
  <c r="G82" i="1" l="1"/>
  <c r="G83" i="1"/>
  <c r="L85" i="1"/>
  <c r="L82" i="1"/>
  <c r="L83" i="1"/>
  <c r="I85" i="1"/>
  <c r="I84" i="1"/>
  <c r="E83" i="1"/>
  <c r="E84" i="1"/>
  <c r="E85" i="1"/>
  <c r="G84" i="1"/>
  <c r="H85" i="1"/>
  <c r="H82" i="1"/>
  <c r="M82" i="1"/>
  <c r="I83" i="1"/>
  <c r="M84" i="1"/>
  <c r="H83" i="1"/>
  <c r="N83" i="1"/>
  <c r="N84" i="1"/>
  <c r="M85" i="1"/>
  <c r="F83" i="1"/>
  <c r="F84" i="1"/>
  <c r="N82" i="1"/>
  <c r="C82" i="1"/>
  <c r="F85" i="1"/>
  <c r="C84" i="1"/>
  <c r="R84" i="1"/>
  <c r="R82" i="1"/>
  <c r="C85" i="1"/>
  <c r="R83" i="1"/>
  <c r="S4" i="1"/>
  <c r="U6" i="1" s="1"/>
  <c r="B16" i="1"/>
  <c r="S16" i="1" s="1"/>
  <c r="B80" i="1" l="1"/>
  <c r="T4" i="1"/>
  <c r="T16" i="1" s="1"/>
  <c r="S80" i="1" l="1"/>
  <c r="B84" i="1"/>
  <c r="B85" i="1"/>
  <c r="B83" i="1"/>
  <c r="B82" i="1"/>
  <c r="S85" i="1" l="1"/>
  <c r="U76" i="1"/>
  <c r="U31" i="1"/>
  <c r="S84" i="1"/>
  <c r="U80" i="1"/>
  <c r="U61" i="1"/>
  <c r="U46" i="1"/>
  <c r="S82" i="1"/>
  <c r="S83" i="1"/>
  <c r="X87" i="1"/>
  <c r="X89" i="1" s="1"/>
  <c r="U16" i="1"/>
</calcChain>
</file>

<file path=xl/sharedStrings.xml><?xml version="1.0" encoding="utf-8"?>
<sst xmlns="http://schemas.openxmlformats.org/spreadsheetml/2006/main" count="381" uniqueCount="54">
  <si>
    <t>PEPINIERE</t>
  </si>
  <si>
    <t>MEUBLES</t>
  </si>
  <si>
    <t>ELECTRO</t>
  </si>
  <si>
    <t>CHINE</t>
  </si>
  <si>
    <t>VAISSELLE</t>
  </si>
  <si>
    <t>JOUETS</t>
  </si>
  <si>
    <t>PAPETERIE</t>
  </si>
  <si>
    <t>LIVRES</t>
  </si>
  <si>
    <t>ASL</t>
  </si>
  <si>
    <t>PUERICULTURE</t>
  </si>
  <si>
    <t>ABJ</t>
  </si>
  <si>
    <t>TEXTILE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</si>
  <si>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</si>
  <si>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</si>
  <si>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</si>
  <si>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</si>
  <si>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</si>
  <si>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</si>
  <si>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</si>
  <si>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</si>
  <si>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</si>
  <si>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</si>
  <si>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</si>
  <si>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</si>
  <si>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</t>
  </si>
  <si>
    <t>POLIGNAC</t>
  </si>
  <si>
    <t>ST GERMAIN</t>
  </si>
  <si>
    <t>SANSSAC</t>
  </si>
  <si>
    <t>YSS/BAS/MONISTROL</t>
  </si>
  <si>
    <t>TOTAL</t>
  </si>
  <si>
    <t>PEP</t>
  </si>
  <si>
    <t>POL</t>
  </si>
  <si>
    <t>STG</t>
  </si>
  <si>
    <t>SAN</t>
  </si>
  <si>
    <t>TOTAL COLLECTES 4 DECHETERIES</t>
  </si>
  <si>
    <t>TOTAL SORTIES</t>
  </si>
  <si>
    <t>REEMPLOI</t>
  </si>
  <si>
    <t>COLLECTES DECHETERIES DU 01/01/2025 au 31/12/2025</t>
  </si>
  <si>
    <t>CD/DVD/K7</t>
  </si>
  <si>
    <t>PMCB</t>
  </si>
  <si>
    <t>CADRES</t>
  </si>
  <si>
    <t>MERCERIE</t>
  </si>
  <si>
    <t>DECHETS ULTIMES T1</t>
  </si>
  <si>
    <t>DECHETS UTLIMES</t>
  </si>
  <si>
    <t>T1</t>
  </si>
  <si>
    <t>RIEN DANS GDR</t>
  </si>
  <si>
    <t>MASSICOT</t>
  </si>
  <si>
    <t>DEMANTELEMENT</t>
  </si>
  <si>
    <t>sans massicot et démantèlement</t>
  </si>
  <si>
    <t xml:space="preserve">démantèlement </t>
  </si>
  <si>
    <t>massicot</t>
  </si>
  <si>
    <t>démantèlement</t>
  </si>
  <si>
    <t>DECHETS ULTIMES T2</t>
  </si>
  <si>
    <t>REVALORISATION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</si>
</sst>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8"/>
      <color indexed="8"/>
      <name val="Trebuchet MS"/>
      <family val="2"/>
    </font>
    <font>
      <b/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7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2" xfId="0" applyFill="1" applyBorder="1"/>
    <xf numFmtId="0" fontId="2" fillId="2" borderId="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/>
    <xf numFmtId="0" fontId="5" fillId="2" borderId="0" xfId="0" applyFont="1" applyFill="1"/>
    <xf numFmtId="0" fontId="0" fillId="2" borderId="0" xfId="0" applyFill="1" applyAlignment="1">
      <alignment horizontal="right"/>
    </xf>
    <xf numFmtId="0" fontId="6" fillId="2" borderId="1" xfId="0" applyFont="1" applyFill="1" applyBorder="1"/>
    <xf numFmtId="9" fontId="4" fillId="2" borderId="4" xfId="2" applyFont="1" applyFill="1" applyBorder="1" applyAlignment="1">
      <alignment horizontal="center" vertical="center"/>
    </xf>
    <xf numFmtId="0" fontId="8" fillId="2" borderId="0" xfId="1" applyFont="1" applyFill="1" applyAlignment="1">
      <alignment vertical="top"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9" fontId="4" fillId="2" borderId="0" xfId="2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3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2" borderId="7" xfId="0" applyFont="1" applyFill="1" applyBorder="1"/>
    <xf numFmtId="9" fontId="4" fillId="2" borderId="8" xfId="2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9" fontId="2" fillId="2" borderId="9" xfId="2" applyFont="1" applyFill="1" applyBorder="1" applyAlignment="1">
      <alignment horizontal="center"/>
    </xf>
    <xf numFmtId="0" fontId="8" fillId="2" borderId="10" xfId="1" applyFont="1" applyFill="1" applyBorder="1" applyAlignment="1">
      <alignment vertical="top" wrapText="1"/>
    </xf>
    <xf numFmtId="0" fontId="10" fillId="2" borderId="9" xfId="1" applyFont="1" applyFill="1" applyBorder="1" applyAlignment="1">
      <alignment vertical="top" wrapText="1"/>
    </xf>
    <xf numFmtId="0" fontId="4" fillId="0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Border="1"/>
    <xf numFmtId="0" fontId="4" fillId="2" borderId="0" xfId="0" applyFont="1" applyFill="1" applyBorder="1"/>
    <xf numFmtId="0" fontId="4" fillId="3" borderId="0" xfId="0" applyFont="1" applyFill="1" applyBorder="1"/>
    <xf numFmtId="0" fontId="6" fillId="2" borderId="0" xfId="0" applyFont="1" applyFill="1" applyBorder="1"/>
    <xf numFmtId="0" fontId="2" fillId="2" borderId="0" xfId="0" applyFont="1" applyFill="1" applyBorder="1"/>
    <xf numFmtId="0" fontId="2" fillId="4" borderId="0" xfId="0" applyFont="1" applyFill="1" applyBorder="1"/>
    <xf numFmtId="0" fontId="6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9" fontId="2" fillId="2" borderId="0" xfId="2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2" fillId="7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4" fillId="5" borderId="0" xfId="0" applyFont="1" applyFill="1" applyBorder="1"/>
    <xf numFmtId="0" fontId="2" fillId="0" borderId="0" xfId="0" applyFont="1" applyFill="1" applyBorder="1"/>
    <xf numFmtId="0" fontId="2" fillId="6" borderId="0" xfId="0" applyFont="1" applyFill="1" applyBorder="1"/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0" xfId="0" applyFont="1" applyFill="1" applyBorder="1"/>
    <xf numFmtId="0" fontId="1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7" borderId="0" xfId="0" applyFont="1" applyFill="1" applyBorder="1"/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8" fillId="2" borderId="0" xfId="1" applyNumberFormat="1" applyFont="1" applyFill="1" applyAlignment="1">
      <alignment vertical="top" wrapText="1"/>
    </xf>
    <xf numFmtId="0" fontId="1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0" fontId="12" fillId="2" borderId="0" xfId="0" applyNumberFormat="1" applyFont="1" applyFill="1"/>
    <xf numFmtId="0" fontId="2" fillId="7" borderId="9" xfId="0" applyFont="1" applyFill="1" applyBorder="1" applyAlignment="1">
      <alignment horizontal="center"/>
    </xf>
    <xf numFmtId="9" fontId="2" fillId="7" borderId="9" xfId="2" applyFont="1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0" borderId="2" xfId="0" applyFill="1" applyBorder="1"/>
    <xf numFmtId="0" fontId="6" fillId="0" borderId="1" xfId="0" applyFont="1" applyFill="1" applyBorder="1"/>
    <xf numFmtId="0" fontId="0" fillId="0" borderId="0" xfId="0" applyFill="1"/>
    <xf numFmtId="0" fontId="2" fillId="0" borderId="1" xfId="0" applyFont="1" applyFill="1" applyBorder="1"/>
    <xf numFmtId="0" fontId="2" fillId="0" borderId="2" xfId="0" applyFont="1" applyFill="1" applyBorder="1"/>
    <xf numFmtId="0" fontId="6" fillId="0" borderId="0" xfId="0" applyFont="1" applyFill="1"/>
    <xf numFmtId="0" fontId="2" fillId="0" borderId="5" xfId="0" applyFont="1" applyFill="1" applyBorder="1"/>
    <xf numFmtId="0" fontId="2" fillId="0" borderId="3" xfId="0" applyFont="1" applyFill="1" applyBorder="1"/>
    <xf numFmtId="0" fontId="6" fillId="0" borderId="7" xfId="0" applyFont="1" applyFill="1" applyBorder="1"/>
    <xf numFmtId="0" fontId="2" fillId="0" borderId="9" xfId="0" applyFont="1" applyFill="1" applyBorder="1" applyAlignment="1">
      <alignment horizontal="center"/>
    </xf>
    <xf numFmtId="9" fontId="2" fillId="0" borderId="9" xfId="2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0" fillId="2" borderId="11" xfId="1" applyFont="1" applyFill="1" applyBorder="1" applyAlignment="1">
      <alignment horizontal="center" vertical="top" wrapText="1"/>
    </xf>
    <xf numFmtId="0" fontId="10" fillId="2" borderId="12" xfId="1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wrapText="1"/>
    </xf>
  </cellXfs>
  <cellStyles count="3">
    <cellStyle name="NiveauLigne_4" xfId="1" builtinId="1" iLevel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workbookViewId="0">
      <selection activeCell="G20" sqref="G20"/>
    </sheetView>
  </sheetViews>
  <sheetFormatPr baseColWidth="10" defaultRowHeight="15" x14ac:dyDescent="0.25"/>
  <cols>
    <col min="1" max="1" width="14.7109375" style="4" customWidth="1"/>
    <col min="2" max="3" width="11.42578125" style="4"/>
    <col min="4" max="4" width="14.5703125" style="4" customWidth="1"/>
    <col min="5" max="12" width="11.42578125" style="4"/>
    <col min="13" max="13" width="14.5703125" style="4" customWidth="1"/>
    <col min="14" max="17" width="11.42578125" style="4"/>
    <col min="18" max="18" width="13.28515625" style="4" customWidth="1"/>
    <col min="19" max="23" width="11.42578125" style="4"/>
    <col min="24" max="24" width="16.7109375" style="4" customWidth="1"/>
    <col min="25" max="25" width="15.7109375" style="4" customWidth="1"/>
    <col min="26" max="16384" width="11.42578125" style="4"/>
  </cols>
  <sheetData>
    <row r="1" spans="1:23" ht="26.25" x14ac:dyDescent="0.4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4"/>
    </row>
    <row r="2" spans="1:23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55" t="s">
        <v>48</v>
      </c>
    </row>
    <row r="3" spans="1:23" ht="15.75" customHeight="1" thickBot="1" x14ac:dyDescent="0.3">
      <c r="A3" s="5" t="s">
        <v>0</v>
      </c>
      <c r="B3" s="6" t="s">
        <v>1</v>
      </c>
      <c r="C3" s="6" t="s">
        <v>2</v>
      </c>
      <c r="D3" s="43" t="s">
        <v>47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46</v>
      </c>
      <c r="K3" s="6" t="s">
        <v>40</v>
      </c>
      <c r="L3" s="6" t="s">
        <v>8</v>
      </c>
      <c r="M3" s="6" t="s">
        <v>9</v>
      </c>
      <c r="N3" s="6" t="s">
        <v>10</v>
      </c>
      <c r="O3" s="6" t="s">
        <v>38</v>
      </c>
      <c r="P3" s="7" t="s">
        <v>39</v>
      </c>
      <c r="Q3" s="6" t="s">
        <v>41</v>
      </c>
      <c r="R3" s="6" t="s">
        <v>11</v>
      </c>
      <c r="S3" s="8"/>
      <c r="T3" s="45"/>
      <c r="V3" s="9" t="s">
        <v>43</v>
      </c>
    </row>
    <row r="4" spans="1:23" ht="15.75" customHeight="1" thickBot="1" x14ac:dyDescent="0.3">
      <c r="A4" s="2" t="s">
        <v>12</v>
      </c>
      <c r="B4" s="39">
        <v>1297</v>
      </c>
      <c r="C4" s="39">
        <v>685</v>
      </c>
      <c r="D4" s="79">
        <v>322</v>
      </c>
      <c r="E4" s="39">
        <v>344</v>
      </c>
      <c r="F4" s="39">
        <v>1439</v>
      </c>
      <c r="G4" s="39">
        <v>697</v>
      </c>
      <c r="H4" s="39">
        <v>66</v>
      </c>
      <c r="I4" s="39">
        <v>2292</v>
      </c>
      <c r="J4" s="39">
        <v>404</v>
      </c>
      <c r="K4" s="39">
        <v>299</v>
      </c>
      <c r="L4" s="39">
        <v>377</v>
      </c>
      <c r="M4" s="39">
        <v>165</v>
      </c>
      <c r="N4" s="39">
        <v>397</v>
      </c>
      <c r="O4" s="77">
        <v>90</v>
      </c>
      <c r="P4" s="11">
        <v>93.65</v>
      </c>
      <c r="Q4" s="78">
        <v>96</v>
      </c>
      <c r="R4" s="2"/>
      <c r="S4" s="12">
        <f>SUM(B4:R4)</f>
        <v>9063.65</v>
      </c>
      <c r="T4" s="64">
        <f t="shared" ref="T4:T5" si="0">S4-J4-D4</f>
        <v>8337.65</v>
      </c>
    </row>
    <row r="5" spans="1:23" ht="16.5" thickBot="1" x14ac:dyDescent="0.3">
      <c r="A5" s="2" t="s">
        <v>13</v>
      </c>
      <c r="B5" s="39">
        <v>1120.5</v>
      </c>
      <c r="C5" s="39">
        <v>606</v>
      </c>
      <c r="D5" s="39">
        <v>621</v>
      </c>
      <c r="E5" s="39">
        <v>628</v>
      </c>
      <c r="F5" s="39">
        <v>1544</v>
      </c>
      <c r="G5" s="39">
        <v>477</v>
      </c>
      <c r="H5" s="39">
        <v>113</v>
      </c>
      <c r="I5" s="39">
        <v>1536</v>
      </c>
      <c r="J5" s="39">
        <v>562</v>
      </c>
      <c r="K5" s="39">
        <v>221</v>
      </c>
      <c r="L5" s="39">
        <v>317</v>
      </c>
      <c r="M5" s="39">
        <v>40</v>
      </c>
      <c r="N5" s="39">
        <v>780</v>
      </c>
      <c r="O5" s="39">
        <v>324</v>
      </c>
      <c r="P5" s="4">
        <v>188.23</v>
      </c>
      <c r="Q5" s="2"/>
      <c r="R5" s="39">
        <v>238</v>
      </c>
      <c r="S5" s="12">
        <f>SUM(B5:R5)</f>
        <v>9315.73</v>
      </c>
      <c r="T5" s="64">
        <f t="shared" si="0"/>
        <v>8132.73</v>
      </c>
    </row>
    <row r="6" spans="1:23" ht="16.5" thickBot="1" x14ac:dyDescent="0.3">
      <c r="A6" s="2" t="s">
        <v>14</v>
      </c>
      <c r="B6" s="39">
        <v>1122</v>
      </c>
      <c r="C6" s="39">
        <v>519</v>
      </c>
      <c r="D6" s="39">
        <v>532</v>
      </c>
      <c r="E6" s="81">
        <v>446</v>
      </c>
      <c r="F6" s="39">
        <v>1384</v>
      </c>
      <c r="G6" s="81">
        <v>473</v>
      </c>
      <c r="H6" s="39">
        <v>111</v>
      </c>
      <c r="I6" s="39">
        <v>1140</v>
      </c>
      <c r="J6" s="39">
        <v>1526</v>
      </c>
      <c r="K6" s="39">
        <v>179</v>
      </c>
      <c r="L6" s="39">
        <v>296</v>
      </c>
      <c r="M6" s="39">
        <v>276</v>
      </c>
      <c r="N6" s="39">
        <v>380</v>
      </c>
      <c r="O6" s="39">
        <v>205</v>
      </c>
      <c r="P6" s="2"/>
      <c r="Q6" s="39">
        <v>163</v>
      </c>
      <c r="R6" s="39">
        <v>277</v>
      </c>
      <c r="S6" s="12">
        <f>SUM(B6:R6)</f>
        <v>9029</v>
      </c>
      <c r="T6" s="64">
        <f>S6-J6-D6</f>
        <v>6971</v>
      </c>
      <c r="U6" s="13">
        <f>S4+S5+S6</f>
        <v>27408.379999999997</v>
      </c>
      <c r="V6" s="4">
        <v>5327</v>
      </c>
      <c r="W6" s="14" t="s">
        <v>44</v>
      </c>
    </row>
    <row r="7" spans="1:23" ht="16.5" thickBot="1" x14ac:dyDescent="0.3">
      <c r="A7" s="39" t="s">
        <v>15</v>
      </c>
      <c r="B7" s="39">
        <v>1006</v>
      </c>
      <c r="C7" s="39">
        <v>527</v>
      </c>
      <c r="D7" s="39">
        <v>1330</v>
      </c>
      <c r="E7" s="39">
        <v>330</v>
      </c>
      <c r="F7" s="39">
        <v>552</v>
      </c>
      <c r="G7" s="39">
        <v>379</v>
      </c>
      <c r="H7" s="39">
        <v>167</v>
      </c>
      <c r="I7" s="39">
        <v>1196</v>
      </c>
      <c r="J7" s="39">
        <v>1392</v>
      </c>
      <c r="K7" s="39"/>
      <c r="L7" s="39">
        <v>355</v>
      </c>
      <c r="M7" s="39">
        <v>147</v>
      </c>
      <c r="N7" s="39">
        <v>400</v>
      </c>
      <c r="O7" s="39">
        <v>167</v>
      </c>
      <c r="P7" s="39"/>
      <c r="Q7" s="39"/>
      <c r="R7" s="39">
        <v>472</v>
      </c>
      <c r="S7" s="40">
        <f t="shared" ref="S7:S16" si="1">SUM(B7:R7)</f>
        <v>8420</v>
      </c>
      <c r="T7" s="47">
        <f>S7-J7-D7</f>
        <v>5698</v>
      </c>
    </row>
    <row r="8" spans="1:23" ht="16.5" thickBot="1" x14ac:dyDescent="0.3">
      <c r="A8" s="39" t="s">
        <v>16</v>
      </c>
      <c r="B8" s="39">
        <v>1342</v>
      </c>
      <c r="C8" s="39">
        <v>782</v>
      </c>
      <c r="D8" s="39">
        <v>231</v>
      </c>
      <c r="E8" s="39">
        <v>649</v>
      </c>
      <c r="F8" s="39">
        <v>1753</v>
      </c>
      <c r="G8" s="39">
        <v>889</v>
      </c>
      <c r="H8" s="39">
        <v>184</v>
      </c>
      <c r="I8" s="39">
        <v>1402</v>
      </c>
      <c r="J8" s="39">
        <v>1465</v>
      </c>
      <c r="K8" s="39">
        <v>305</v>
      </c>
      <c r="L8" s="39">
        <v>516</v>
      </c>
      <c r="M8" s="39">
        <v>287</v>
      </c>
      <c r="N8" s="39">
        <v>401</v>
      </c>
      <c r="O8" s="39">
        <v>342</v>
      </c>
      <c r="P8" s="39"/>
      <c r="Q8" s="39">
        <v>7</v>
      </c>
      <c r="R8" s="39">
        <v>77</v>
      </c>
      <c r="S8" s="40">
        <f t="shared" si="1"/>
        <v>10632</v>
      </c>
      <c r="T8" s="47">
        <f>S8-J8-D8</f>
        <v>8936</v>
      </c>
    </row>
    <row r="9" spans="1:23" ht="16.5" thickBot="1" x14ac:dyDescent="0.3">
      <c r="A9" s="39" t="s">
        <v>17</v>
      </c>
      <c r="B9" s="39">
        <v>1224</v>
      </c>
      <c r="C9" s="39">
        <v>811</v>
      </c>
      <c r="D9" s="39">
        <v>174</v>
      </c>
      <c r="E9" s="73">
        <v>121</v>
      </c>
      <c r="F9" s="39">
        <v>569</v>
      </c>
      <c r="G9" s="39">
        <v>53</v>
      </c>
      <c r="H9" s="74">
        <v>96</v>
      </c>
      <c r="I9" s="39">
        <v>474</v>
      </c>
      <c r="J9" s="39">
        <v>389</v>
      </c>
      <c r="K9" s="39"/>
      <c r="L9" s="39">
        <v>280</v>
      </c>
      <c r="M9" s="39">
        <v>209</v>
      </c>
      <c r="N9" s="39">
        <v>723</v>
      </c>
      <c r="O9" s="39">
        <v>140</v>
      </c>
      <c r="P9" s="39"/>
      <c r="Q9" s="39"/>
      <c r="R9" s="39"/>
      <c r="S9" s="40">
        <f t="shared" si="1"/>
        <v>5263</v>
      </c>
      <c r="T9" s="47">
        <f t="shared" ref="T9:T15" si="2">S9-J9-D9</f>
        <v>4700</v>
      </c>
      <c r="U9" s="4">
        <f>T7+T8+T9</f>
        <v>19334</v>
      </c>
    </row>
    <row r="10" spans="1:23" ht="16.5" thickBot="1" x14ac:dyDescent="0.3">
      <c r="A10" s="2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2">
        <f t="shared" si="1"/>
        <v>0</v>
      </c>
      <c r="T10" s="64">
        <f t="shared" si="2"/>
        <v>0</v>
      </c>
    </row>
    <row r="11" spans="1:23" ht="16.5" thickBot="1" x14ac:dyDescent="0.3">
      <c r="A11" s="2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2">
        <f t="shared" si="1"/>
        <v>0</v>
      </c>
      <c r="T11" s="64">
        <f t="shared" si="2"/>
        <v>0</v>
      </c>
    </row>
    <row r="12" spans="1:23" ht="16.5" thickBot="1" x14ac:dyDescent="0.3">
      <c r="A12" s="2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2">
        <f t="shared" si="1"/>
        <v>0</v>
      </c>
      <c r="T12" s="64">
        <f t="shared" si="2"/>
        <v>0</v>
      </c>
    </row>
    <row r="13" spans="1:23" ht="16.5" thickBot="1" x14ac:dyDescent="0.3">
      <c r="A13" s="2" t="s">
        <v>21</v>
      </c>
      <c r="B13" s="2"/>
      <c r="C13" s="2"/>
      <c r="D13" s="2"/>
      <c r="E13" s="2"/>
      <c r="F13" s="2"/>
      <c r="G13" s="2"/>
      <c r="H13" s="2"/>
      <c r="I13" s="10"/>
      <c r="J13" s="2"/>
      <c r="K13" s="2"/>
      <c r="L13" s="2"/>
      <c r="M13" s="3"/>
      <c r="N13" s="2"/>
      <c r="O13" s="3"/>
      <c r="P13" s="3"/>
      <c r="Q13" s="3"/>
      <c r="R13" s="3"/>
      <c r="S13" s="12">
        <f t="shared" si="1"/>
        <v>0</v>
      </c>
      <c r="T13" s="64">
        <f t="shared" si="2"/>
        <v>0</v>
      </c>
    </row>
    <row r="14" spans="1:23" ht="16.5" thickBot="1" x14ac:dyDescent="0.3">
      <c r="A14" s="2" t="s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2">
        <f t="shared" si="1"/>
        <v>0</v>
      </c>
      <c r="T14" s="64">
        <f t="shared" si="2"/>
        <v>0</v>
      </c>
    </row>
    <row r="15" spans="1:23" ht="16.5" thickBot="1" x14ac:dyDescent="0.3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">
        <f t="shared" si="1"/>
        <v>0</v>
      </c>
      <c r="T15" s="64">
        <f t="shared" si="2"/>
        <v>0</v>
      </c>
    </row>
    <row r="16" spans="1:23" ht="16.5" thickBot="1" x14ac:dyDescent="0.3">
      <c r="A16" s="6" t="s">
        <v>24</v>
      </c>
      <c r="B16" s="5">
        <f>SUM(B4:B15)</f>
        <v>7111.5</v>
      </c>
      <c r="C16" s="5">
        <f t="shared" ref="C16:R16" si="3">SUM(C4:C15)</f>
        <v>3930</v>
      </c>
      <c r="D16" s="5">
        <f t="shared" si="3"/>
        <v>3210</v>
      </c>
      <c r="E16" s="5">
        <f>SUM(E4:E15)</f>
        <v>2518</v>
      </c>
      <c r="F16" s="5">
        <f t="shared" si="3"/>
        <v>7241</v>
      </c>
      <c r="G16" s="5">
        <f t="shared" si="3"/>
        <v>2968</v>
      </c>
      <c r="H16" s="5">
        <f t="shared" si="3"/>
        <v>737</v>
      </c>
      <c r="I16" s="5">
        <f t="shared" si="3"/>
        <v>8040</v>
      </c>
      <c r="J16" s="5">
        <f t="shared" si="3"/>
        <v>5738</v>
      </c>
      <c r="K16" s="5">
        <f t="shared" si="3"/>
        <v>1004</v>
      </c>
      <c r="L16" s="5">
        <f t="shared" si="3"/>
        <v>2141</v>
      </c>
      <c r="M16" s="5">
        <f t="shared" si="3"/>
        <v>1124</v>
      </c>
      <c r="N16" s="5">
        <f t="shared" si="3"/>
        <v>3081</v>
      </c>
      <c r="O16" s="5">
        <f t="shared" si="3"/>
        <v>1268</v>
      </c>
      <c r="P16" s="5">
        <f t="shared" si="3"/>
        <v>281.88</v>
      </c>
      <c r="Q16" s="5">
        <f t="shared" si="3"/>
        <v>266</v>
      </c>
      <c r="R16" s="5">
        <f t="shared" si="3"/>
        <v>1064</v>
      </c>
      <c r="S16" s="15">
        <f t="shared" si="1"/>
        <v>51723.38</v>
      </c>
      <c r="T16" s="15">
        <f>SUM(T4:T15)</f>
        <v>42775.38</v>
      </c>
      <c r="U16" s="16">
        <f>+S16/$S$80</f>
        <v>0.59999132319833404</v>
      </c>
    </row>
    <row r="17" spans="1:25" ht="15.75" thickBot="1" x14ac:dyDescent="0.3"/>
    <row r="18" spans="1:25" ht="16.5" thickBot="1" x14ac:dyDescent="0.3">
      <c r="A18" s="5" t="s">
        <v>26</v>
      </c>
      <c r="B18" s="6" t="s">
        <v>1</v>
      </c>
      <c r="C18" s="6" t="s">
        <v>2</v>
      </c>
      <c r="D18" s="6" t="s">
        <v>51</v>
      </c>
      <c r="E18" s="6" t="s">
        <v>3</v>
      </c>
      <c r="F18" s="6" t="s">
        <v>4</v>
      </c>
      <c r="G18" s="6" t="s">
        <v>5</v>
      </c>
      <c r="H18" s="6" t="s">
        <v>6</v>
      </c>
      <c r="I18" s="6" t="s">
        <v>7</v>
      </c>
      <c r="J18" s="6" t="s">
        <v>50</v>
      </c>
      <c r="K18" s="6" t="s">
        <v>40</v>
      </c>
      <c r="L18" s="6" t="s">
        <v>8</v>
      </c>
      <c r="M18" s="6" t="s">
        <v>9</v>
      </c>
      <c r="N18" s="6" t="s">
        <v>10</v>
      </c>
      <c r="O18" s="6" t="s">
        <v>38</v>
      </c>
      <c r="P18" s="6" t="s">
        <v>39</v>
      </c>
      <c r="Q18" s="6" t="s">
        <v>41</v>
      </c>
      <c r="R18" s="6" t="s">
        <v>11</v>
      </c>
      <c r="S18" s="8"/>
      <c r="T18" s="45"/>
    </row>
    <row r="19" spans="1:25" ht="16.5" thickBot="1" x14ac:dyDescent="0.3">
      <c r="A19" s="61" t="s">
        <v>12</v>
      </c>
      <c r="B19" s="61">
        <v>99</v>
      </c>
      <c r="C19" s="61">
        <v>61</v>
      </c>
      <c r="D19" s="61">
        <v>25</v>
      </c>
      <c r="E19" s="61">
        <v>28</v>
      </c>
      <c r="F19" s="61">
        <v>197</v>
      </c>
      <c r="G19" s="75">
        <v>27</v>
      </c>
      <c r="H19" s="61"/>
      <c r="I19" s="61">
        <v>47</v>
      </c>
      <c r="J19" s="61"/>
      <c r="K19" s="61">
        <v>43</v>
      </c>
      <c r="L19" s="61">
        <v>46</v>
      </c>
      <c r="M19" s="61">
        <v>52</v>
      </c>
      <c r="N19" s="61"/>
      <c r="O19" s="61"/>
      <c r="P19" s="61"/>
      <c r="Q19" s="61"/>
      <c r="R19" s="61">
        <v>126</v>
      </c>
      <c r="S19" s="62">
        <f t="shared" ref="S19:S31" si="4">SUM(B19:R19)</f>
        <v>751</v>
      </c>
      <c r="T19" s="65">
        <f t="shared" ref="T19:T22" si="5">S19-J19-D19</f>
        <v>726</v>
      </c>
    </row>
    <row r="20" spans="1:25" ht="16.5" thickBot="1" x14ac:dyDescent="0.3">
      <c r="A20" s="61" t="s">
        <v>13</v>
      </c>
      <c r="B20" s="61">
        <v>218</v>
      </c>
      <c r="C20" s="61">
        <v>157</v>
      </c>
      <c r="D20" s="61">
        <v>44</v>
      </c>
      <c r="E20" s="61">
        <v>104</v>
      </c>
      <c r="F20" s="61">
        <v>188</v>
      </c>
      <c r="G20" s="61">
        <v>37</v>
      </c>
      <c r="H20" s="61"/>
      <c r="I20" s="61"/>
      <c r="J20" s="61">
        <v>30</v>
      </c>
      <c r="K20" s="61"/>
      <c r="L20" s="61">
        <v>70</v>
      </c>
      <c r="M20" s="61">
        <v>77</v>
      </c>
      <c r="N20" s="61">
        <v>301</v>
      </c>
      <c r="O20" s="61"/>
      <c r="P20" s="61"/>
      <c r="Q20" s="61"/>
      <c r="R20" s="61"/>
      <c r="S20" s="62">
        <f t="shared" si="4"/>
        <v>1226</v>
      </c>
      <c r="T20" s="65">
        <f t="shared" si="5"/>
        <v>1152</v>
      </c>
    </row>
    <row r="21" spans="1:25" ht="16.5" thickBot="1" x14ac:dyDescent="0.3">
      <c r="A21" s="61" t="s">
        <v>14</v>
      </c>
      <c r="B21" s="61">
        <v>439</v>
      </c>
      <c r="C21" s="61">
        <v>158</v>
      </c>
      <c r="D21" s="61">
        <v>49</v>
      </c>
      <c r="E21" s="61">
        <v>174</v>
      </c>
      <c r="F21" s="61">
        <v>367</v>
      </c>
      <c r="G21" s="61">
        <v>93</v>
      </c>
      <c r="H21" s="61"/>
      <c r="I21" s="61">
        <v>294</v>
      </c>
      <c r="J21" s="61"/>
      <c r="K21" s="61">
        <v>30</v>
      </c>
      <c r="L21" s="61">
        <v>152</v>
      </c>
      <c r="M21" s="61"/>
      <c r="N21" s="61">
        <v>140</v>
      </c>
      <c r="O21" s="61"/>
      <c r="P21" s="61"/>
      <c r="Q21" s="61"/>
      <c r="R21" s="61"/>
      <c r="S21" s="62">
        <f t="shared" si="4"/>
        <v>1896</v>
      </c>
      <c r="T21" s="65">
        <f t="shared" si="5"/>
        <v>1847</v>
      </c>
      <c r="U21" s="4">
        <f>S19+S20+S21</f>
        <v>3873</v>
      </c>
      <c r="V21" s="4">
        <v>580</v>
      </c>
    </row>
    <row r="22" spans="1:25" ht="18" customHeight="1" thickBot="1" x14ac:dyDescent="0.3">
      <c r="A22" s="56" t="s">
        <v>15</v>
      </c>
      <c r="B22" s="2">
        <v>512</v>
      </c>
      <c r="C22" s="2">
        <v>102</v>
      </c>
      <c r="D22" s="2">
        <v>1301</v>
      </c>
      <c r="E22" s="2"/>
      <c r="F22" s="2">
        <v>427</v>
      </c>
      <c r="G22" s="2">
        <v>87</v>
      </c>
      <c r="H22" s="2"/>
      <c r="I22" s="2">
        <v>324</v>
      </c>
      <c r="J22" s="2">
        <v>419</v>
      </c>
      <c r="K22" s="2"/>
      <c r="L22" s="2">
        <v>113</v>
      </c>
      <c r="M22" s="2"/>
      <c r="N22" s="2">
        <v>123</v>
      </c>
      <c r="O22" s="2"/>
      <c r="P22" s="2"/>
      <c r="Q22" s="2"/>
      <c r="R22" s="2"/>
      <c r="S22" s="12">
        <f t="shared" si="4"/>
        <v>3408</v>
      </c>
      <c r="T22" s="64">
        <f t="shared" si="5"/>
        <v>1688</v>
      </c>
      <c r="U22" s="13" t="s">
        <v>45</v>
      </c>
    </row>
    <row r="23" spans="1:25" ht="16.5" thickBot="1" x14ac:dyDescent="0.3">
      <c r="A23" s="61" t="s">
        <v>16</v>
      </c>
      <c r="B23" s="61">
        <v>270</v>
      </c>
      <c r="C23" s="61">
        <v>18</v>
      </c>
      <c r="D23" s="61">
        <v>115</v>
      </c>
      <c r="E23" s="61">
        <v>104</v>
      </c>
      <c r="F23" s="61">
        <v>418</v>
      </c>
      <c r="G23" s="61">
        <v>105</v>
      </c>
      <c r="H23" s="61"/>
      <c r="I23" s="61">
        <v>416</v>
      </c>
      <c r="J23" s="61">
        <v>103</v>
      </c>
      <c r="K23" s="61"/>
      <c r="L23" s="61">
        <v>129</v>
      </c>
      <c r="M23" s="61"/>
      <c r="N23" s="61"/>
      <c r="O23" s="61"/>
      <c r="P23" s="61"/>
      <c r="Q23" s="61"/>
      <c r="R23" s="61"/>
      <c r="S23" s="62">
        <f>SUM(B23:R23)</f>
        <v>1678</v>
      </c>
      <c r="T23" s="65">
        <f>S23-J23-D23</f>
        <v>1460</v>
      </c>
    </row>
    <row r="24" spans="1:25" ht="16.5" thickBot="1" x14ac:dyDescent="0.3">
      <c r="A24" s="61" t="s">
        <v>17</v>
      </c>
      <c r="B24" s="61">
        <v>508</v>
      </c>
      <c r="C24" s="61">
        <v>7</v>
      </c>
      <c r="D24" s="61">
        <v>33</v>
      </c>
      <c r="E24" s="61">
        <v>201</v>
      </c>
      <c r="F24" s="61">
        <v>315</v>
      </c>
      <c r="G24" s="61">
        <v>41</v>
      </c>
      <c r="H24" s="61">
        <v>54</v>
      </c>
      <c r="I24" s="75">
        <v>283</v>
      </c>
      <c r="J24" s="61">
        <v>280</v>
      </c>
      <c r="K24" s="61"/>
      <c r="L24" s="61">
        <v>148</v>
      </c>
      <c r="M24" s="61"/>
      <c r="N24" s="61"/>
      <c r="O24" s="61"/>
      <c r="P24" s="61"/>
      <c r="Q24" s="61"/>
      <c r="R24" s="61"/>
      <c r="S24" s="62">
        <f t="shared" si="4"/>
        <v>1870</v>
      </c>
      <c r="T24" s="65">
        <f t="shared" ref="T24:T30" si="6">S24-J24-D24</f>
        <v>1557</v>
      </c>
      <c r="U24" s="4">
        <f>T22+T23+T24</f>
        <v>4705</v>
      </c>
    </row>
    <row r="25" spans="1:25" ht="16.5" thickBot="1" x14ac:dyDescent="0.3">
      <c r="A25" s="2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2">
        <f t="shared" si="4"/>
        <v>0</v>
      </c>
      <c r="T25" s="46">
        <f t="shared" si="6"/>
        <v>0</v>
      </c>
    </row>
    <row r="26" spans="1:25" ht="16.5" thickBot="1" x14ac:dyDescent="0.3">
      <c r="A26" s="2" t="s"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2">
        <f t="shared" si="4"/>
        <v>0</v>
      </c>
      <c r="T26" s="46">
        <f t="shared" si="6"/>
        <v>0</v>
      </c>
    </row>
    <row r="27" spans="1:25" ht="16.5" thickBot="1" x14ac:dyDescent="0.3">
      <c r="A27" s="2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2">
        <f t="shared" si="4"/>
        <v>0</v>
      </c>
      <c r="T27" s="46">
        <f t="shared" si="6"/>
        <v>0</v>
      </c>
    </row>
    <row r="28" spans="1:25" ht="16.5" thickBot="1" x14ac:dyDescent="0.3">
      <c r="A28" s="2" t="s"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2">
        <f t="shared" si="4"/>
        <v>0</v>
      </c>
      <c r="T28" s="46">
        <f t="shared" si="6"/>
        <v>0</v>
      </c>
    </row>
    <row r="29" spans="1:25" ht="16.5" thickBot="1" x14ac:dyDescent="0.3">
      <c r="A29" s="2" t="s"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2">
        <f t="shared" si="4"/>
        <v>0</v>
      </c>
      <c r="T29" s="46">
        <f t="shared" si="6"/>
        <v>0</v>
      </c>
    </row>
    <row r="30" spans="1:25" ht="16.5" thickBot="1" x14ac:dyDescent="0.3">
      <c r="A30" s="2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2">
        <f t="shared" si="4"/>
        <v>0</v>
      </c>
      <c r="T30" s="46">
        <f t="shared" si="6"/>
        <v>0</v>
      </c>
    </row>
    <row r="31" spans="1:25" ht="16.5" thickBot="1" x14ac:dyDescent="0.3">
      <c r="A31" s="6" t="s">
        <v>24</v>
      </c>
      <c r="B31" s="5">
        <f>SUM(B19:B30)</f>
        <v>2046</v>
      </c>
      <c r="C31" s="5">
        <f t="shared" ref="C31:R31" si="7">SUM(C19:C30)</f>
        <v>503</v>
      </c>
      <c r="D31" s="5">
        <f t="shared" si="7"/>
        <v>1567</v>
      </c>
      <c r="E31" s="5">
        <f t="shared" si="7"/>
        <v>611</v>
      </c>
      <c r="F31" s="5">
        <f t="shared" si="7"/>
        <v>1912</v>
      </c>
      <c r="G31" s="5">
        <f t="shared" si="7"/>
        <v>390</v>
      </c>
      <c r="H31" s="5">
        <f t="shared" si="7"/>
        <v>54</v>
      </c>
      <c r="I31" s="5">
        <f t="shared" si="7"/>
        <v>1364</v>
      </c>
      <c r="J31" s="5">
        <f t="shared" si="7"/>
        <v>832</v>
      </c>
      <c r="K31" s="5">
        <f t="shared" si="7"/>
        <v>73</v>
      </c>
      <c r="L31" s="5">
        <f t="shared" si="7"/>
        <v>658</v>
      </c>
      <c r="M31" s="5">
        <f t="shared" si="7"/>
        <v>129</v>
      </c>
      <c r="N31" s="5">
        <f t="shared" si="7"/>
        <v>564</v>
      </c>
      <c r="O31" s="5">
        <f t="shared" si="7"/>
        <v>0</v>
      </c>
      <c r="P31" s="5">
        <f t="shared" si="7"/>
        <v>0</v>
      </c>
      <c r="Q31" s="5">
        <f t="shared" si="7"/>
        <v>0</v>
      </c>
      <c r="R31" s="5">
        <f t="shared" si="7"/>
        <v>126</v>
      </c>
      <c r="S31" s="15">
        <f t="shared" si="4"/>
        <v>10829</v>
      </c>
      <c r="T31" s="15">
        <f>SUM(T18:T30)</f>
        <v>8430</v>
      </c>
      <c r="U31" s="16">
        <f>+S31/$S$80</f>
        <v>0.12561642411835341</v>
      </c>
    </row>
    <row r="32" spans="1:25" ht="15.75" thickBot="1" x14ac:dyDescent="0.3">
      <c r="V32" s="17"/>
      <c r="W32" s="17"/>
      <c r="X32" s="17"/>
      <c r="Y32" s="17"/>
    </row>
    <row r="33" spans="1:25" ht="15.75" thickBot="1" x14ac:dyDescent="0.3">
      <c r="A33" s="63" t="s">
        <v>25</v>
      </c>
      <c r="B33" s="6" t="s">
        <v>1</v>
      </c>
      <c r="C33" s="6" t="s">
        <v>2</v>
      </c>
      <c r="D33" s="6" t="s">
        <v>51</v>
      </c>
      <c r="E33" s="6" t="s">
        <v>3</v>
      </c>
      <c r="F33" s="6" t="s">
        <v>4</v>
      </c>
      <c r="G33" s="6" t="s">
        <v>5</v>
      </c>
      <c r="H33" s="6" t="s">
        <v>6</v>
      </c>
      <c r="I33" s="6" t="s">
        <v>7</v>
      </c>
      <c r="J33" s="6" t="s">
        <v>50</v>
      </c>
      <c r="K33" s="6" t="s">
        <v>40</v>
      </c>
      <c r="L33" s="6" t="s">
        <v>8</v>
      </c>
      <c r="M33" s="6" t="s">
        <v>9</v>
      </c>
      <c r="N33" s="6" t="s">
        <v>10</v>
      </c>
      <c r="O33" s="6" t="s">
        <v>38</v>
      </c>
      <c r="P33" s="6" t="s">
        <v>39</v>
      </c>
      <c r="Q33" s="6" t="s">
        <v>41</v>
      </c>
      <c r="R33" s="6" t="s">
        <v>11</v>
      </c>
      <c r="S33" s="8"/>
      <c r="T33" s="45"/>
      <c r="V33" s="17"/>
      <c r="W33" s="17"/>
      <c r="X33" s="17"/>
      <c r="Y33" s="17"/>
    </row>
    <row r="34" spans="1:25" ht="15.75" thickBot="1" x14ac:dyDescent="0.3">
      <c r="A34" s="41" t="s">
        <v>12</v>
      </c>
      <c r="B34" s="41">
        <v>135</v>
      </c>
      <c r="C34" s="41">
        <v>6</v>
      </c>
      <c r="D34" s="41">
        <v>47</v>
      </c>
      <c r="E34" s="41">
        <v>17</v>
      </c>
      <c r="F34" s="41">
        <v>289</v>
      </c>
      <c r="G34" s="41">
        <v>112</v>
      </c>
      <c r="H34" s="41"/>
      <c r="I34" s="41">
        <v>161</v>
      </c>
      <c r="J34" s="41"/>
      <c r="K34" s="41"/>
      <c r="L34" s="41">
        <v>123</v>
      </c>
      <c r="M34" s="41"/>
      <c r="N34" s="41"/>
      <c r="O34" s="41"/>
      <c r="P34" s="41"/>
      <c r="Q34" s="41"/>
      <c r="R34" s="41"/>
      <c r="S34" s="42">
        <f t="shared" ref="S34:S45" si="8">SUM(B34:R34)</f>
        <v>890</v>
      </c>
      <c r="T34" s="50">
        <f t="shared" ref="T34:T36" si="9">S34-J34-D34</f>
        <v>843</v>
      </c>
      <c r="V34" s="17"/>
      <c r="W34" s="17"/>
      <c r="X34" s="17"/>
      <c r="Y34" s="17"/>
    </row>
    <row r="35" spans="1:25" ht="15.75" thickBot="1" x14ac:dyDescent="0.3">
      <c r="A35" s="41" t="s">
        <v>13</v>
      </c>
      <c r="B35" s="41">
        <v>91</v>
      </c>
      <c r="C35" s="41">
        <v>79</v>
      </c>
      <c r="D35" s="41"/>
      <c r="E35" s="41"/>
      <c r="F35" s="41">
        <v>18</v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2">
        <f t="shared" si="8"/>
        <v>188</v>
      </c>
      <c r="T35" s="50">
        <f t="shared" si="9"/>
        <v>188</v>
      </c>
      <c r="V35" s="17"/>
      <c r="W35" s="17"/>
      <c r="X35" s="17"/>
      <c r="Y35" s="17"/>
    </row>
    <row r="36" spans="1:25" ht="15.75" thickBot="1" x14ac:dyDescent="0.3">
      <c r="A36" s="41" t="s">
        <v>14</v>
      </c>
      <c r="B36" s="41">
        <v>353</v>
      </c>
      <c r="C36" s="41">
        <v>269</v>
      </c>
      <c r="D36" s="41">
        <v>88</v>
      </c>
      <c r="E36" s="41">
        <v>260</v>
      </c>
      <c r="F36" s="41">
        <v>665</v>
      </c>
      <c r="G36" s="41">
        <v>359</v>
      </c>
      <c r="H36" s="41"/>
      <c r="I36" s="41">
        <v>965</v>
      </c>
      <c r="J36" s="41">
        <v>507</v>
      </c>
      <c r="K36" s="41">
        <v>43</v>
      </c>
      <c r="L36" s="41">
        <v>220</v>
      </c>
      <c r="M36" s="41">
        <v>65</v>
      </c>
      <c r="N36" s="41"/>
      <c r="O36" s="41"/>
      <c r="P36" s="41"/>
      <c r="Q36" s="41"/>
      <c r="R36" s="41">
        <v>75</v>
      </c>
      <c r="S36" s="42">
        <f t="shared" si="8"/>
        <v>3869</v>
      </c>
      <c r="T36" s="50">
        <f t="shared" si="9"/>
        <v>3274</v>
      </c>
      <c r="U36" s="4">
        <f>S34+S35+S36</f>
        <v>4947</v>
      </c>
      <c r="V36" s="17">
        <v>1332</v>
      </c>
      <c r="W36" s="17"/>
      <c r="X36" s="17"/>
      <c r="Y36" s="17"/>
    </row>
    <row r="37" spans="1:25" ht="15.75" thickBot="1" x14ac:dyDescent="0.3">
      <c r="A37" s="41" t="s">
        <v>15</v>
      </c>
      <c r="B37" s="41">
        <v>509.5</v>
      </c>
      <c r="C37" s="41">
        <v>441</v>
      </c>
      <c r="D37" s="41">
        <v>511</v>
      </c>
      <c r="E37" s="41">
        <v>196</v>
      </c>
      <c r="F37" s="41">
        <v>1050</v>
      </c>
      <c r="G37" s="41">
        <v>312</v>
      </c>
      <c r="H37" s="41"/>
      <c r="I37" s="41">
        <v>418</v>
      </c>
      <c r="J37" s="41">
        <v>970</v>
      </c>
      <c r="K37" s="41">
        <v>69</v>
      </c>
      <c r="L37" s="41">
        <v>281</v>
      </c>
      <c r="M37" s="41">
        <v>26</v>
      </c>
      <c r="N37" s="41"/>
      <c r="O37" s="41"/>
      <c r="P37" s="41"/>
      <c r="Q37" s="41"/>
      <c r="R37" s="41">
        <v>281</v>
      </c>
      <c r="S37" s="42">
        <f t="shared" si="8"/>
        <v>5064.5</v>
      </c>
      <c r="T37" s="50">
        <f>S37-J37-D37</f>
        <v>3583.5</v>
      </c>
      <c r="V37" s="17"/>
      <c r="W37" s="17"/>
      <c r="X37" s="17"/>
      <c r="Y37" s="17"/>
    </row>
    <row r="38" spans="1:25" ht="15.75" thickBot="1" x14ac:dyDescent="0.3">
      <c r="A38" s="41" t="s">
        <v>16</v>
      </c>
      <c r="B38" s="41">
        <v>162</v>
      </c>
      <c r="C38" s="41">
        <v>4</v>
      </c>
      <c r="D38" s="41">
        <v>69</v>
      </c>
      <c r="E38" s="41">
        <v>97</v>
      </c>
      <c r="F38" s="41">
        <v>230</v>
      </c>
      <c r="G38" s="41">
        <v>143</v>
      </c>
      <c r="H38" s="41"/>
      <c r="I38" s="41">
        <v>380</v>
      </c>
      <c r="J38" s="41">
        <v>137</v>
      </c>
      <c r="K38" s="41"/>
      <c r="L38" s="41">
        <v>108</v>
      </c>
      <c r="M38" s="41"/>
      <c r="N38" s="41"/>
      <c r="O38" s="41"/>
      <c r="P38" s="41"/>
      <c r="Q38" s="41"/>
      <c r="R38" s="41"/>
      <c r="S38" s="42">
        <f t="shared" si="8"/>
        <v>1330</v>
      </c>
      <c r="T38" s="50">
        <f t="shared" ref="T38:T45" si="10">S38-J38-D38</f>
        <v>1124</v>
      </c>
      <c r="V38" s="17"/>
      <c r="W38" s="17"/>
      <c r="X38" s="17"/>
      <c r="Y38" s="17"/>
    </row>
    <row r="39" spans="1:25" ht="15.75" thickBot="1" x14ac:dyDescent="0.3">
      <c r="A39" s="41" t="s">
        <v>17</v>
      </c>
      <c r="B39" s="41">
        <v>231</v>
      </c>
      <c r="C39" s="41">
        <v>7</v>
      </c>
      <c r="D39" s="41">
        <v>37</v>
      </c>
      <c r="E39" s="41">
        <v>104</v>
      </c>
      <c r="F39" s="41">
        <v>229</v>
      </c>
      <c r="G39" s="41">
        <v>52</v>
      </c>
      <c r="H39" s="41"/>
      <c r="I39" s="41">
        <v>282</v>
      </c>
      <c r="J39" s="41">
        <v>89</v>
      </c>
      <c r="K39" s="41"/>
      <c r="L39" s="41">
        <v>67</v>
      </c>
      <c r="M39" s="41"/>
      <c r="N39" s="41"/>
      <c r="O39" s="41"/>
      <c r="P39" s="41"/>
      <c r="Q39" s="41"/>
      <c r="R39" s="41"/>
      <c r="S39" s="42">
        <f t="shared" si="8"/>
        <v>1098</v>
      </c>
      <c r="T39" s="50">
        <f t="shared" si="10"/>
        <v>972</v>
      </c>
      <c r="U39" s="4">
        <f>T37+T38+T39</f>
        <v>5679.5</v>
      </c>
      <c r="V39" s="17"/>
      <c r="W39" s="17"/>
      <c r="X39" s="17"/>
      <c r="Y39" s="17"/>
    </row>
    <row r="40" spans="1:25" ht="15.75" thickBot="1" x14ac:dyDescent="0.3">
      <c r="A40" s="2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8">
        <f t="shared" si="8"/>
        <v>0</v>
      </c>
      <c r="T40" s="66">
        <f t="shared" si="10"/>
        <v>0</v>
      </c>
    </row>
    <row r="41" spans="1:25" ht="15.75" thickBot="1" x14ac:dyDescent="0.3">
      <c r="A41" s="2" t="s">
        <v>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8">
        <f t="shared" si="8"/>
        <v>0</v>
      </c>
      <c r="T41" s="66">
        <f t="shared" si="10"/>
        <v>0</v>
      </c>
    </row>
    <row r="42" spans="1:25" ht="15.75" thickBot="1" x14ac:dyDescent="0.3">
      <c r="A42" s="2" t="s">
        <v>20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8">
        <f t="shared" si="8"/>
        <v>0</v>
      </c>
      <c r="T42" s="66">
        <f t="shared" si="10"/>
        <v>0</v>
      </c>
    </row>
    <row r="43" spans="1:25" ht="15.75" thickBot="1" x14ac:dyDescent="0.3">
      <c r="A43" s="2" t="s">
        <v>21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8">
        <f t="shared" si="8"/>
        <v>0</v>
      </c>
      <c r="T43" s="66">
        <f t="shared" si="10"/>
        <v>0</v>
      </c>
    </row>
    <row r="44" spans="1:25" ht="15.75" thickBot="1" x14ac:dyDescent="0.3">
      <c r="A44" s="2" t="s">
        <v>22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8">
        <f t="shared" si="8"/>
        <v>0</v>
      </c>
      <c r="T44" s="66">
        <f t="shared" si="10"/>
        <v>0</v>
      </c>
    </row>
    <row r="45" spans="1:25" ht="15.75" thickBot="1" x14ac:dyDescent="0.3">
      <c r="A45" s="2" t="s">
        <v>23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8">
        <f t="shared" si="8"/>
        <v>0</v>
      </c>
      <c r="T45" s="66">
        <f t="shared" si="10"/>
        <v>0</v>
      </c>
    </row>
    <row r="46" spans="1:25" ht="16.5" thickBot="1" x14ac:dyDescent="0.3">
      <c r="A46" s="6" t="s">
        <v>24</v>
      </c>
      <c r="B46" s="5">
        <f>SUM(B34:B45)</f>
        <v>1481.5</v>
      </c>
      <c r="C46" s="5">
        <f t="shared" ref="C46:R46" si="11">SUM(C34:C45)</f>
        <v>806</v>
      </c>
      <c r="D46" s="5">
        <f t="shared" si="11"/>
        <v>752</v>
      </c>
      <c r="E46" s="5">
        <f t="shared" si="11"/>
        <v>674</v>
      </c>
      <c r="F46" s="5">
        <f t="shared" si="11"/>
        <v>2481</v>
      </c>
      <c r="G46" s="5">
        <f t="shared" si="11"/>
        <v>978</v>
      </c>
      <c r="H46" s="5">
        <f t="shared" si="11"/>
        <v>0</v>
      </c>
      <c r="I46" s="5">
        <f t="shared" si="11"/>
        <v>2206</v>
      </c>
      <c r="J46" s="5">
        <f t="shared" si="11"/>
        <v>1703</v>
      </c>
      <c r="K46" s="5">
        <f t="shared" si="11"/>
        <v>112</v>
      </c>
      <c r="L46" s="5">
        <f t="shared" si="11"/>
        <v>799</v>
      </c>
      <c r="M46" s="5">
        <f t="shared" si="11"/>
        <v>91</v>
      </c>
      <c r="N46" s="5">
        <f t="shared" si="11"/>
        <v>0</v>
      </c>
      <c r="O46" s="5">
        <f t="shared" si="11"/>
        <v>0</v>
      </c>
      <c r="P46" s="5">
        <f t="shared" si="11"/>
        <v>0</v>
      </c>
      <c r="Q46" s="5">
        <f t="shared" si="11"/>
        <v>0</v>
      </c>
      <c r="R46" s="5">
        <f t="shared" si="11"/>
        <v>356</v>
      </c>
      <c r="S46" s="15">
        <f>SUM(B46:R46)</f>
        <v>12439.5</v>
      </c>
      <c r="T46" s="15">
        <f>SUM(T34:T45)</f>
        <v>9984.5</v>
      </c>
      <c r="U46" s="16">
        <f>+S46/$S$80</f>
        <v>0.14429822770525971</v>
      </c>
    </row>
    <row r="47" spans="1:25" ht="15.75" thickBot="1" x14ac:dyDescent="0.3"/>
    <row r="48" spans="1:25" s="20" customFormat="1" ht="16.5" thickBot="1" x14ac:dyDescent="0.3">
      <c r="A48" s="5" t="s">
        <v>27</v>
      </c>
      <c r="B48" s="6" t="s">
        <v>1</v>
      </c>
      <c r="C48" s="6" t="s">
        <v>2</v>
      </c>
      <c r="D48" s="6" t="s">
        <v>51</v>
      </c>
      <c r="E48" s="6" t="s">
        <v>3</v>
      </c>
      <c r="F48" s="6" t="s">
        <v>4</v>
      </c>
      <c r="G48" s="6" t="s">
        <v>5</v>
      </c>
      <c r="H48" s="6" t="s">
        <v>6</v>
      </c>
      <c r="I48" s="6" t="s">
        <v>7</v>
      </c>
      <c r="J48" s="6" t="s">
        <v>50</v>
      </c>
      <c r="K48" s="6" t="s">
        <v>40</v>
      </c>
      <c r="L48" s="6" t="s">
        <v>8</v>
      </c>
      <c r="M48" s="6" t="s">
        <v>9</v>
      </c>
      <c r="N48" s="6" t="s">
        <v>10</v>
      </c>
      <c r="O48" s="6" t="s">
        <v>38</v>
      </c>
      <c r="P48" s="6" t="s">
        <v>39</v>
      </c>
      <c r="Q48" s="6" t="s">
        <v>41</v>
      </c>
      <c r="R48" s="6" t="s">
        <v>11</v>
      </c>
      <c r="S48" s="19"/>
      <c r="T48" s="49"/>
    </row>
    <row r="49" spans="1:22" ht="15.75" thickBot="1" x14ac:dyDescent="0.3">
      <c r="A49" s="59" t="s">
        <v>12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60">
        <f t="shared" ref="S49:S61" si="12">SUM(B49:R49)</f>
        <v>0</v>
      </c>
      <c r="T49" s="76">
        <f t="shared" ref="T49:T51" si="13">S49-J49-D49</f>
        <v>0</v>
      </c>
      <c r="U49" s="49" t="s">
        <v>45</v>
      </c>
    </row>
    <row r="50" spans="1:22" ht="15.75" thickBot="1" x14ac:dyDescent="0.3">
      <c r="A50" s="57" t="s">
        <v>13</v>
      </c>
      <c r="B50" s="57">
        <v>75</v>
      </c>
      <c r="C50" s="57">
        <v>3</v>
      </c>
      <c r="D50" s="57">
        <v>52</v>
      </c>
      <c r="E50" s="57">
        <v>66</v>
      </c>
      <c r="F50" s="57">
        <v>245</v>
      </c>
      <c r="G50" s="57">
        <v>180</v>
      </c>
      <c r="H50" s="57"/>
      <c r="I50" s="57">
        <v>223</v>
      </c>
      <c r="J50" s="80"/>
      <c r="K50" s="57"/>
      <c r="L50" s="57">
        <v>71</v>
      </c>
      <c r="M50" s="57"/>
      <c r="N50" s="57"/>
      <c r="O50" s="57"/>
      <c r="P50" s="57"/>
      <c r="Q50" s="57"/>
      <c r="R50" s="57"/>
      <c r="S50" s="58">
        <f t="shared" si="12"/>
        <v>915</v>
      </c>
      <c r="T50" s="67">
        <f t="shared" si="13"/>
        <v>863</v>
      </c>
    </row>
    <row r="51" spans="1:22" ht="15.75" thickBot="1" x14ac:dyDescent="0.3">
      <c r="A51" s="57" t="s">
        <v>14</v>
      </c>
      <c r="B51" s="57">
        <v>334</v>
      </c>
      <c r="C51" s="57">
        <v>44</v>
      </c>
      <c r="D51" s="57">
        <v>40</v>
      </c>
      <c r="E51" s="57">
        <v>92</v>
      </c>
      <c r="F51" s="57">
        <v>295</v>
      </c>
      <c r="G51" s="57">
        <v>104</v>
      </c>
      <c r="H51" s="57"/>
      <c r="I51" s="57">
        <v>356</v>
      </c>
      <c r="J51" s="57">
        <v>83</v>
      </c>
      <c r="K51" s="57">
        <v>102</v>
      </c>
      <c r="L51" s="57">
        <v>109</v>
      </c>
      <c r="M51" s="57"/>
      <c r="N51" s="57"/>
      <c r="O51" s="57"/>
      <c r="P51" s="57"/>
      <c r="Q51" s="57"/>
      <c r="R51" s="57"/>
      <c r="S51" s="58">
        <f t="shared" si="12"/>
        <v>1559</v>
      </c>
      <c r="T51" s="67">
        <f t="shared" si="13"/>
        <v>1436</v>
      </c>
      <c r="U51" s="4">
        <f>S50+S51</f>
        <v>2474</v>
      </c>
      <c r="V51" s="4">
        <v>150</v>
      </c>
    </row>
    <row r="52" spans="1:22" ht="15.75" thickBot="1" x14ac:dyDescent="0.3">
      <c r="A52" s="57" t="s">
        <v>15</v>
      </c>
      <c r="B52" s="57">
        <v>241</v>
      </c>
      <c r="C52" s="57">
        <v>127</v>
      </c>
      <c r="D52" s="57">
        <v>81</v>
      </c>
      <c r="E52" s="57">
        <v>24</v>
      </c>
      <c r="F52" s="57">
        <v>275</v>
      </c>
      <c r="G52" s="57">
        <v>144</v>
      </c>
      <c r="H52" s="57"/>
      <c r="I52" s="57">
        <v>124</v>
      </c>
      <c r="J52" s="57"/>
      <c r="K52" s="57">
        <v>117</v>
      </c>
      <c r="L52" s="57">
        <v>36</v>
      </c>
      <c r="M52" s="57">
        <v>104</v>
      </c>
      <c r="N52" s="57">
        <v>434</v>
      </c>
      <c r="O52" s="57"/>
      <c r="P52" s="57"/>
      <c r="Q52" s="57"/>
      <c r="R52" s="57"/>
      <c r="S52" s="58">
        <f>SUM(B52:R52)</f>
        <v>1707</v>
      </c>
      <c r="T52" s="67">
        <f>S52-J52-D52</f>
        <v>1626</v>
      </c>
    </row>
    <row r="53" spans="1:22" ht="15.75" thickBot="1" x14ac:dyDescent="0.3">
      <c r="A53" s="57" t="s">
        <v>16</v>
      </c>
      <c r="B53" s="57">
        <v>360</v>
      </c>
      <c r="C53" s="57">
        <v>182</v>
      </c>
      <c r="D53" s="57">
        <v>285</v>
      </c>
      <c r="E53" s="57">
        <v>139</v>
      </c>
      <c r="F53" s="57">
        <v>867</v>
      </c>
      <c r="G53" s="57">
        <v>210</v>
      </c>
      <c r="H53" s="57"/>
      <c r="I53" s="57">
        <v>605</v>
      </c>
      <c r="J53" s="57">
        <v>733</v>
      </c>
      <c r="K53" s="57"/>
      <c r="L53" s="57">
        <v>74</v>
      </c>
      <c r="M53" s="57"/>
      <c r="N53" s="57">
        <v>191</v>
      </c>
      <c r="O53" s="57">
        <v>203</v>
      </c>
      <c r="P53" s="57"/>
      <c r="Q53" s="57"/>
      <c r="R53" s="57"/>
      <c r="S53" s="58">
        <f t="shared" si="12"/>
        <v>3849</v>
      </c>
      <c r="T53" s="67">
        <f t="shared" ref="T53:T60" si="14">S53-J53-D53</f>
        <v>2831</v>
      </c>
    </row>
    <row r="54" spans="1:22" ht="15.75" thickBot="1" x14ac:dyDescent="0.3">
      <c r="A54" s="57" t="s">
        <v>17</v>
      </c>
      <c r="B54" s="57">
        <v>191</v>
      </c>
      <c r="C54" s="57"/>
      <c r="D54" s="57">
        <v>107</v>
      </c>
      <c r="E54" s="57">
        <v>46</v>
      </c>
      <c r="F54" s="57">
        <v>345</v>
      </c>
      <c r="G54" s="57">
        <v>128</v>
      </c>
      <c r="H54" s="57"/>
      <c r="I54" s="57">
        <v>196</v>
      </c>
      <c r="J54" s="57">
        <v>23</v>
      </c>
      <c r="K54" s="57"/>
      <c r="L54" s="57">
        <v>54</v>
      </c>
      <c r="M54" s="57"/>
      <c r="N54" s="57"/>
      <c r="O54" s="57"/>
      <c r="P54" s="57"/>
      <c r="Q54" s="57"/>
      <c r="R54" s="57"/>
      <c r="S54" s="58">
        <f t="shared" si="12"/>
        <v>1090</v>
      </c>
      <c r="T54" s="67">
        <f t="shared" si="14"/>
        <v>960</v>
      </c>
      <c r="U54" s="4">
        <f>T52+T53+T54</f>
        <v>5417</v>
      </c>
    </row>
    <row r="55" spans="1:22" ht="15.75" thickBot="1" x14ac:dyDescent="0.3">
      <c r="A55" s="2" t="s">
        <v>18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18">
        <f t="shared" si="12"/>
        <v>0</v>
      </c>
      <c r="T55" s="49">
        <f t="shared" si="14"/>
        <v>0</v>
      </c>
    </row>
    <row r="56" spans="1:22" ht="15.75" thickBot="1" x14ac:dyDescent="0.3">
      <c r="A56" s="2" t="s">
        <v>19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18">
        <f t="shared" si="12"/>
        <v>0</v>
      </c>
      <c r="T56" s="49">
        <f t="shared" si="14"/>
        <v>0</v>
      </c>
    </row>
    <row r="57" spans="1:22" ht="15.75" thickBot="1" x14ac:dyDescent="0.3">
      <c r="A57" s="2" t="s">
        <v>20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8">
        <f t="shared" si="12"/>
        <v>0</v>
      </c>
      <c r="T57" s="49">
        <f t="shared" si="14"/>
        <v>0</v>
      </c>
    </row>
    <row r="58" spans="1:22" ht="15.75" thickBot="1" x14ac:dyDescent="0.3">
      <c r="A58" s="2" t="s">
        <v>21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18">
        <f t="shared" si="12"/>
        <v>0</v>
      </c>
      <c r="T58" s="49">
        <f t="shared" si="14"/>
        <v>0</v>
      </c>
    </row>
    <row r="59" spans="1:22" ht="15.75" thickBot="1" x14ac:dyDescent="0.3">
      <c r="A59" s="2" t="s">
        <v>22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8">
        <f t="shared" si="12"/>
        <v>0</v>
      </c>
      <c r="T59" s="49">
        <f t="shared" si="14"/>
        <v>0</v>
      </c>
    </row>
    <row r="60" spans="1:22" ht="15.75" thickBot="1" x14ac:dyDescent="0.3">
      <c r="A60" s="2" t="s">
        <v>23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8">
        <f t="shared" si="12"/>
        <v>0</v>
      </c>
      <c r="T60" s="49">
        <f t="shared" si="14"/>
        <v>0</v>
      </c>
    </row>
    <row r="61" spans="1:22" ht="16.5" thickBot="1" x14ac:dyDescent="0.3">
      <c r="A61" s="6" t="s">
        <v>24</v>
      </c>
      <c r="B61" s="5">
        <f>SUM(B49:B60)</f>
        <v>1201</v>
      </c>
      <c r="C61" s="5">
        <f t="shared" ref="C61:R61" si="15">SUM(C49:C60)</f>
        <v>356</v>
      </c>
      <c r="D61" s="5">
        <f t="shared" si="15"/>
        <v>565</v>
      </c>
      <c r="E61" s="5">
        <f t="shared" si="15"/>
        <v>367</v>
      </c>
      <c r="F61" s="5">
        <f t="shared" si="15"/>
        <v>2027</v>
      </c>
      <c r="G61" s="5">
        <f t="shared" si="15"/>
        <v>766</v>
      </c>
      <c r="H61" s="5">
        <f t="shared" si="15"/>
        <v>0</v>
      </c>
      <c r="I61" s="5">
        <f t="shared" si="15"/>
        <v>1504</v>
      </c>
      <c r="J61" s="5">
        <f t="shared" si="15"/>
        <v>839</v>
      </c>
      <c r="K61" s="5">
        <f t="shared" si="15"/>
        <v>219</v>
      </c>
      <c r="L61" s="5">
        <f t="shared" si="15"/>
        <v>344</v>
      </c>
      <c r="M61" s="5">
        <f t="shared" si="15"/>
        <v>104</v>
      </c>
      <c r="N61" s="5">
        <f t="shared" si="15"/>
        <v>625</v>
      </c>
      <c r="O61" s="5">
        <f t="shared" si="15"/>
        <v>203</v>
      </c>
      <c r="P61" s="5">
        <f t="shared" si="15"/>
        <v>0</v>
      </c>
      <c r="Q61" s="5">
        <f t="shared" si="15"/>
        <v>0</v>
      </c>
      <c r="R61" s="5">
        <f t="shared" si="15"/>
        <v>0</v>
      </c>
      <c r="S61" s="15">
        <f t="shared" si="12"/>
        <v>9120</v>
      </c>
      <c r="T61" s="15">
        <f>SUM(T49:T60)</f>
        <v>7716</v>
      </c>
      <c r="U61" s="16">
        <f>+S61/$S$80</f>
        <v>0.1057920203120679</v>
      </c>
    </row>
    <row r="62" spans="1:22" ht="16.5" thickBot="1" x14ac:dyDescent="0.3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  <c r="T62" s="23"/>
      <c r="U62" s="24"/>
    </row>
    <row r="63" spans="1:22" s="20" customFormat="1" ht="15.75" thickBot="1" x14ac:dyDescent="0.3">
      <c r="A63" s="68" t="s">
        <v>28</v>
      </c>
      <c r="B63" s="6" t="s">
        <v>1</v>
      </c>
      <c r="C63" s="6" t="s">
        <v>2</v>
      </c>
      <c r="D63" s="6" t="s">
        <v>51</v>
      </c>
      <c r="E63" s="6" t="s">
        <v>3</v>
      </c>
      <c r="F63" s="6" t="s">
        <v>4</v>
      </c>
      <c r="G63" s="6" t="s">
        <v>5</v>
      </c>
      <c r="H63" s="6" t="s">
        <v>6</v>
      </c>
      <c r="I63" s="6" t="s">
        <v>7</v>
      </c>
      <c r="J63" s="6" t="s">
        <v>50</v>
      </c>
      <c r="K63" s="6" t="s">
        <v>40</v>
      </c>
      <c r="L63" s="6" t="s">
        <v>8</v>
      </c>
      <c r="M63" s="26" t="s">
        <v>9</v>
      </c>
      <c r="N63" s="6" t="s">
        <v>10</v>
      </c>
      <c r="O63" s="6" t="s">
        <v>38</v>
      </c>
      <c r="P63" s="6" t="s">
        <v>39</v>
      </c>
      <c r="Q63" s="6" t="s">
        <v>41</v>
      </c>
      <c r="R63" s="27" t="s">
        <v>11</v>
      </c>
      <c r="S63" s="28"/>
      <c r="T63" s="49"/>
    </row>
    <row r="64" spans="1:22" ht="15.75" thickBot="1" x14ac:dyDescent="0.3">
      <c r="A64" s="69" t="s">
        <v>12</v>
      </c>
      <c r="B64" s="69"/>
      <c r="C64" s="69"/>
      <c r="D64" s="69"/>
      <c r="E64" s="69"/>
      <c r="F64" s="69"/>
      <c r="G64" s="69"/>
      <c r="H64" s="69"/>
      <c r="I64" s="69">
        <v>153</v>
      </c>
      <c r="J64" s="69"/>
      <c r="K64" s="69"/>
      <c r="L64" s="69"/>
      <c r="M64" s="69"/>
      <c r="N64" s="69"/>
      <c r="O64" s="69"/>
      <c r="P64" s="69"/>
      <c r="Q64" s="69"/>
      <c r="R64" s="69"/>
      <c r="S64" s="71">
        <f t="shared" ref="S64:S76" si="16">SUM(B64:R64)</f>
        <v>153</v>
      </c>
      <c r="T64" s="72">
        <f t="shared" ref="T64:T67" si="17">S64-J64-D64</f>
        <v>153</v>
      </c>
    </row>
    <row r="65" spans="1:21" ht="15.75" thickBot="1" x14ac:dyDescent="0.3">
      <c r="A65" s="2" t="s">
        <v>13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0"/>
      <c r="N65" s="2"/>
      <c r="O65" s="2"/>
      <c r="P65" s="2"/>
      <c r="Q65" s="2"/>
      <c r="R65" s="2"/>
      <c r="S65" s="29">
        <f t="shared" si="16"/>
        <v>0</v>
      </c>
      <c r="T65" s="66">
        <f t="shared" si="17"/>
        <v>0</v>
      </c>
    </row>
    <row r="66" spans="1:21" ht="15.75" thickBot="1" x14ac:dyDescent="0.3">
      <c r="A66" s="2" t="s">
        <v>14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8">
        <f t="shared" si="16"/>
        <v>0</v>
      </c>
      <c r="T66" s="66">
        <f t="shared" si="17"/>
        <v>0</v>
      </c>
      <c r="U66" s="4">
        <f>T64+T65+T66</f>
        <v>153</v>
      </c>
    </row>
    <row r="67" spans="1:21" ht="15.75" thickBot="1" x14ac:dyDescent="0.3">
      <c r="A67" s="59" t="s">
        <v>15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60">
        <f t="shared" si="16"/>
        <v>0</v>
      </c>
      <c r="T67" s="66">
        <f t="shared" si="17"/>
        <v>0</v>
      </c>
      <c r="U67" s="49" t="s">
        <v>45</v>
      </c>
    </row>
    <row r="68" spans="1:21" ht="16.5" thickBot="1" x14ac:dyDescent="0.3">
      <c r="A68" s="69" t="s">
        <v>16</v>
      </c>
      <c r="B68" s="69">
        <v>164</v>
      </c>
      <c r="C68" s="69">
        <v>14</v>
      </c>
      <c r="D68" s="69"/>
      <c r="E68" s="69">
        <v>52</v>
      </c>
      <c r="F68" s="69">
        <v>414</v>
      </c>
      <c r="G68" s="69">
        <v>57</v>
      </c>
      <c r="H68" s="69"/>
      <c r="I68" s="69">
        <v>8</v>
      </c>
      <c r="J68" s="69">
        <v>10</v>
      </c>
      <c r="K68" s="69">
        <v>89</v>
      </c>
      <c r="L68" s="69">
        <v>409</v>
      </c>
      <c r="M68" s="69"/>
      <c r="N68" s="69">
        <v>74</v>
      </c>
      <c r="O68" s="69"/>
      <c r="P68" s="69"/>
      <c r="Q68" s="70">
        <v>279</v>
      </c>
      <c r="R68" s="69">
        <v>59</v>
      </c>
      <c r="S68" s="71">
        <f t="shared" si="16"/>
        <v>1629</v>
      </c>
      <c r="T68" s="72">
        <f>S68-J68-D68</f>
        <v>1619</v>
      </c>
    </row>
    <row r="69" spans="1:21" ht="15.75" thickBot="1" x14ac:dyDescent="0.3">
      <c r="A69" s="69" t="s">
        <v>17</v>
      </c>
      <c r="B69" s="69">
        <v>12</v>
      </c>
      <c r="C69" s="69"/>
      <c r="D69" s="69"/>
      <c r="E69" s="69">
        <v>38</v>
      </c>
      <c r="F69" s="69">
        <v>201</v>
      </c>
      <c r="G69" s="69"/>
      <c r="H69" s="69"/>
      <c r="I69" s="69"/>
      <c r="J69" s="69"/>
      <c r="K69" s="69"/>
      <c r="L69" s="69">
        <v>62</v>
      </c>
      <c r="M69" s="69"/>
      <c r="N69" s="69"/>
      <c r="O69" s="69"/>
      <c r="P69" s="69"/>
      <c r="Q69" s="69"/>
      <c r="R69" s="69"/>
      <c r="S69" s="71">
        <f t="shared" si="16"/>
        <v>313</v>
      </c>
      <c r="T69" s="72">
        <f t="shared" ref="T69:T75" si="18">S69-J69-D69</f>
        <v>313</v>
      </c>
      <c r="U69" s="4">
        <f>T67+T68+T69</f>
        <v>1932</v>
      </c>
    </row>
    <row r="70" spans="1:21" ht="15.75" thickBot="1" x14ac:dyDescent="0.3">
      <c r="A70" s="2" t="s">
        <v>18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8">
        <f t="shared" si="16"/>
        <v>0</v>
      </c>
      <c r="T70" s="49">
        <f t="shared" si="18"/>
        <v>0</v>
      </c>
    </row>
    <row r="71" spans="1:21" ht="15.75" thickBot="1" x14ac:dyDescent="0.3">
      <c r="A71" s="2" t="s">
        <v>19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18">
        <f t="shared" si="16"/>
        <v>0</v>
      </c>
      <c r="T71" s="49">
        <f t="shared" si="18"/>
        <v>0</v>
      </c>
    </row>
    <row r="72" spans="1:21" ht="15.75" thickBot="1" x14ac:dyDescent="0.3">
      <c r="A72" s="2" t="s">
        <v>20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8">
        <f t="shared" si="16"/>
        <v>0</v>
      </c>
      <c r="T72" s="49">
        <f t="shared" si="18"/>
        <v>0</v>
      </c>
    </row>
    <row r="73" spans="1:21" ht="15.75" thickBot="1" x14ac:dyDescent="0.3">
      <c r="A73" s="2" t="s">
        <v>21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18">
        <f t="shared" si="16"/>
        <v>0</v>
      </c>
      <c r="T73" s="49">
        <f t="shared" si="18"/>
        <v>0</v>
      </c>
    </row>
    <row r="74" spans="1:21" ht="15.75" thickBot="1" x14ac:dyDescent="0.3">
      <c r="A74" s="2" t="s">
        <v>22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18">
        <f t="shared" si="16"/>
        <v>0</v>
      </c>
      <c r="T74" s="49">
        <f t="shared" si="18"/>
        <v>0</v>
      </c>
    </row>
    <row r="75" spans="1:21" ht="15.75" thickBot="1" x14ac:dyDescent="0.3">
      <c r="A75" s="2" t="s">
        <v>23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8">
        <f t="shared" si="16"/>
        <v>0</v>
      </c>
      <c r="T75" s="49">
        <f t="shared" si="18"/>
        <v>0</v>
      </c>
    </row>
    <row r="76" spans="1:21" ht="16.5" thickBot="1" x14ac:dyDescent="0.3">
      <c r="A76" s="6" t="s">
        <v>24</v>
      </c>
      <c r="B76" s="5">
        <f>SUM(B64:B75)</f>
        <v>176</v>
      </c>
      <c r="C76" s="5">
        <f t="shared" ref="C76:R76" si="19">SUM(C64:C75)</f>
        <v>14</v>
      </c>
      <c r="D76" s="5">
        <f t="shared" si="19"/>
        <v>0</v>
      </c>
      <c r="E76" s="5">
        <f t="shared" si="19"/>
        <v>90</v>
      </c>
      <c r="F76" s="5">
        <f t="shared" si="19"/>
        <v>615</v>
      </c>
      <c r="G76" s="5">
        <f t="shared" si="19"/>
        <v>57</v>
      </c>
      <c r="H76" s="5">
        <f t="shared" si="19"/>
        <v>0</v>
      </c>
      <c r="I76" s="5">
        <f t="shared" si="19"/>
        <v>161</v>
      </c>
      <c r="J76" s="5">
        <f t="shared" si="19"/>
        <v>10</v>
      </c>
      <c r="K76" s="5">
        <f t="shared" si="19"/>
        <v>89</v>
      </c>
      <c r="L76" s="5">
        <f t="shared" si="19"/>
        <v>471</v>
      </c>
      <c r="M76" s="5">
        <f t="shared" si="19"/>
        <v>0</v>
      </c>
      <c r="N76" s="5">
        <f t="shared" si="19"/>
        <v>74</v>
      </c>
      <c r="O76" s="5">
        <f t="shared" si="19"/>
        <v>0</v>
      </c>
      <c r="P76" s="5">
        <f t="shared" si="19"/>
        <v>0</v>
      </c>
      <c r="Q76" s="5">
        <f t="shared" si="19"/>
        <v>279</v>
      </c>
      <c r="R76" s="5">
        <f t="shared" si="19"/>
        <v>59</v>
      </c>
      <c r="S76" s="15">
        <f t="shared" si="16"/>
        <v>2095</v>
      </c>
      <c r="T76" s="48">
        <f>SUM(T64:T75)</f>
        <v>2085</v>
      </c>
      <c r="U76" s="16">
        <f>+S76/$S$80</f>
        <v>2.4302004665984894E-2</v>
      </c>
    </row>
    <row r="77" spans="1:21" ht="15.75" x14ac:dyDescent="0.25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3"/>
      <c r="T77" s="23"/>
      <c r="U77" s="24"/>
    </row>
    <row r="78" spans="1:21" ht="16.5" thickBot="1" x14ac:dyDescent="0.3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51"/>
      <c r="U78" s="33"/>
    </row>
    <row r="79" spans="1:21" s="20" customFormat="1" ht="15.75" thickBot="1" x14ac:dyDescent="0.3">
      <c r="A79" s="25"/>
      <c r="B79" s="6" t="s">
        <v>1</v>
      </c>
      <c r="C79" s="6" t="s">
        <v>2</v>
      </c>
      <c r="D79" s="6" t="s">
        <v>49</v>
      </c>
      <c r="E79" s="6" t="s">
        <v>3</v>
      </c>
      <c r="F79" s="6" t="s">
        <v>4</v>
      </c>
      <c r="G79" s="6" t="s">
        <v>5</v>
      </c>
      <c r="H79" s="6" t="s">
        <v>6</v>
      </c>
      <c r="I79" s="6" t="s">
        <v>7</v>
      </c>
      <c r="J79" s="6" t="s">
        <v>50</v>
      </c>
      <c r="K79" s="6" t="s">
        <v>40</v>
      </c>
      <c r="L79" s="6" t="s">
        <v>8</v>
      </c>
      <c r="M79" s="26" t="s">
        <v>9</v>
      </c>
      <c r="N79" s="6" t="s">
        <v>10</v>
      </c>
      <c r="O79" s="6" t="s">
        <v>38</v>
      </c>
      <c r="P79" s="6" t="s">
        <v>39</v>
      </c>
      <c r="Q79" s="6" t="s">
        <v>41</v>
      </c>
      <c r="R79" s="27" t="s">
        <v>11</v>
      </c>
      <c r="S79" s="28"/>
      <c r="T79" s="49"/>
    </row>
    <row r="80" spans="1:21" ht="15.75" x14ac:dyDescent="0.25">
      <c r="A80" s="34" t="s">
        <v>29</v>
      </c>
      <c r="B80" s="34">
        <f>+B61+B46+B31+B16+B76</f>
        <v>12016</v>
      </c>
      <c r="C80" s="34">
        <f t="shared" ref="C80:R80" si="20">+C61+C46+C31+C16+C76</f>
        <v>5609</v>
      </c>
      <c r="D80" s="34">
        <f t="shared" si="20"/>
        <v>6094</v>
      </c>
      <c r="E80" s="34">
        <f t="shared" si="20"/>
        <v>4260</v>
      </c>
      <c r="F80" s="34">
        <f t="shared" si="20"/>
        <v>14276</v>
      </c>
      <c r="G80" s="34">
        <f t="shared" si="20"/>
        <v>5159</v>
      </c>
      <c r="H80" s="34">
        <f t="shared" si="20"/>
        <v>791</v>
      </c>
      <c r="I80" s="34">
        <f t="shared" si="20"/>
        <v>13275</v>
      </c>
      <c r="J80" s="34">
        <f t="shared" si="20"/>
        <v>9122</v>
      </c>
      <c r="K80" s="34">
        <f t="shared" si="20"/>
        <v>1497</v>
      </c>
      <c r="L80" s="34">
        <f t="shared" si="20"/>
        <v>4413</v>
      </c>
      <c r="M80" s="34">
        <f t="shared" si="20"/>
        <v>1448</v>
      </c>
      <c r="N80" s="34">
        <f t="shared" si="20"/>
        <v>4344</v>
      </c>
      <c r="O80" s="34">
        <f t="shared" si="20"/>
        <v>1471</v>
      </c>
      <c r="P80" s="34">
        <f t="shared" si="20"/>
        <v>281.88</v>
      </c>
      <c r="Q80" s="34">
        <f t="shared" si="20"/>
        <v>545</v>
      </c>
      <c r="R80" s="34">
        <f t="shared" si="20"/>
        <v>1605</v>
      </c>
      <c r="S80" s="34">
        <f>SUM(B80:R80)</f>
        <v>86206.88</v>
      </c>
      <c r="T80" s="52"/>
      <c r="U80" s="33">
        <f>+S80/$S$80</f>
        <v>1</v>
      </c>
    </row>
    <row r="81" spans="1:25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53"/>
    </row>
    <row r="82" spans="1:25" x14ac:dyDescent="0.25">
      <c r="A82" s="34" t="s">
        <v>30</v>
      </c>
      <c r="B82" s="35">
        <f t="shared" ref="B82:L82" si="21">+B16/B80</f>
        <v>0.59183588548601862</v>
      </c>
      <c r="C82" s="35">
        <f t="shared" si="21"/>
        <v>0.70065965412729547</v>
      </c>
      <c r="D82" s="35">
        <f t="shared" si="21"/>
        <v>0.52674762061043645</v>
      </c>
      <c r="E82" s="35">
        <f t="shared" si="21"/>
        <v>0.5910798122065728</v>
      </c>
      <c r="F82" s="35">
        <f t="shared" si="21"/>
        <v>0.50721490613617259</v>
      </c>
      <c r="G82" s="35">
        <f t="shared" si="21"/>
        <v>0.57530529172320222</v>
      </c>
      <c r="H82" s="35">
        <f t="shared" si="21"/>
        <v>0.93173198482932995</v>
      </c>
      <c r="I82" s="35">
        <f t="shared" si="21"/>
        <v>0.60564971751412433</v>
      </c>
      <c r="J82" s="35">
        <f t="shared" si="21"/>
        <v>0.62902872177154134</v>
      </c>
      <c r="K82" s="35">
        <f t="shared" si="21"/>
        <v>0.67067468269873076</v>
      </c>
      <c r="L82" s="35">
        <f t="shared" si="21"/>
        <v>0.48515748923634716</v>
      </c>
      <c r="M82" s="35">
        <f t="shared" ref="M82:S82" si="22">+M16/M80</f>
        <v>0.77624309392265189</v>
      </c>
      <c r="N82" s="35">
        <f t="shared" si="22"/>
        <v>0.70925414364640882</v>
      </c>
      <c r="O82" s="35">
        <f t="shared" si="22"/>
        <v>0.8619986403806934</v>
      </c>
      <c r="P82" s="35">
        <f t="shared" si="22"/>
        <v>1</v>
      </c>
      <c r="Q82" s="35">
        <f t="shared" si="22"/>
        <v>0.48807339449541287</v>
      </c>
      <c r="R82" s="35">
        <f t="shared" si="22"/>
        <v>0.66292834890965735</v>
      </c>
      <c r="S82" s="35">
        <f t="shared" si="22"/>
        <v>0.59999132319833404</v>
      </c>
      <c r="T82" s="54"/>
    </row>
    <row r="83" spans="1:25" x14ac:dyDescent="0.25">
      <c r="A83" s="34" t="s">
        <v>31</v>
      </c>
      <c r="B83" s="35">
        <f t="shared" ref="B83:L83" si="23">+B31/B80</f>
        <v>0.17027296937416778</v>
      </c>
      <c r="C83" s="35">
        <f t="shared" si="23"/>
        <v>8.9677304332323057E-2</v>
      </c>
      <c r="D83" s="35">
        <f t="shared" si="23"/>
        <v>0.25713816869051526</v>
      </c>
      <c r="E83" s="35">
        <f t="shared" si="23"/>
        <v>0.14342723004694835</v>
      </c>
      <c r="F83" s="35">
        <f t="shared" si="23"/>
        <v>0.13393107312972821</v>
      </c>
      <c r="G83" s="35">
        <f t="shared" si="23"/>
        <v>7.5596045745299476E-2</v>
      </c>
      <c r="H83" s="35">
        <f t="shared" si="23"/>
        <v>6.8268015170670035E-2</v>
      </c>
      <c r="I83" s="35">
        <f t="shared" si="23"/>
        <v>0.10274952919020716</v>
      </c>
      <c r="J83" s="35">
        <f t="shared" si="23"/>
        <v>9.1208068406051307E-2</v>
      </c>
      <c r="K83" s="35">
        <f t="shared" si="23"/>
        <v>4.876419505678023E-2</v>
      </c>
      <c r="L83" s="35">
        <f t="shared" si="23"/>
        <v>0.14910491728982553</v>
      </c>
      <c r="M83" s="35">
        <f t="shared" ref="M83:S83" si="24">+M31/M80</f>
        <v>8.9088397790055243E-2</v>
      </c>
      <c r="N83" s="35">
        <f t="shared" si="24"/>
        <v>0.12983425414364641</v>
      </c>
      <c r="O83" s="35">
        <f t="shared" si="24"/>
        <v>0</v>
      </c>
      <c r="P83" s="35">
        <f t="shared" si="24"/>
        <v>0</v>
      </c>
      <c r="Q83" s="35">
        <f t="shared" si="24"/>
        <v>0</v>
      </c>
      <c r="R83" s="35">
        <f t="shared" si="24"/>
        <v>7.8504672897196259E-2</v>
      </c>
      <c r="S83" s="35">
        <f t="shared" si="24"/>
        <v>0.12561642411835341</v>
      </c>
      <c r="T83" s="54"/>
    </row>
    <row r="84" spans="1:25" x14ac:dyDescent="0.25">
      <c r="A84" s="34" t="s">
        <v>32</v>
      </c>
      <c r="B84" s="35">
        <f t="shared" ref="B84:L84" si="25">+B46/B80</f>
        <v>0.1232939414114514</v>
      </c>
      <c r="C84" s="35">
        <f t="shared" si="25"/>
        <v>0.14369762881083972</v>
      </c>
      <c r="D84" s="35">
        <f t="shared" si="25"/>
        <v>0.12340006563833279</v>
      </c>
      <c r="E84" s="35">
        <f t="shared" si="25"/>
        <v>0.15821596244131456</v>
      </c>
      <c r="F84" s="35">
        <f t="shared" si="25"/>
        <v>0.17378817595965257</v>
      </c>
      <c r="G84" s="35">
        <f t="shared" si="25"/>
        <v>0.1895716224074433</v>
      </c>
      <c r="H84" s="35">
        <f t="shared" si="25"/>
        <v>0</v>
      </c>
      <c r="I84" s="35">
        <f t="shared" si="25"/>
        <v>0.16617702448210922</v>
      </c>
      <c r="J84" s="35">
        <f t="shared" si="25"/>
        <v>0.18669151501863626</v>
      </c>
      <c r="K84" s="35">
        <f t="shared" si="25"/>
        <v>7.4816299265197062E-2</v>
      </c>
      <c r="L84" s="35">
        <f t="shared" si="25"/>
        <v>0.18105597099478812</v>
      </c>
      <c r="M84" s="35">
        <f t="shared" ref="M84:S84" si="26">+M46/M80</f>
        <v>6.2845303867403321E-2</v>
      </c>
      <c r="N84" s="35">
        <f t="shared" si="26"/>
        <v>0</v>
      </c>
      <c r="O84" s="35">
        <f t="shared" si="26"/>
        <v>0</v>
      </c>
      <c r="P84" s="35">
        <f t="shared" si="26"/>
        <v>0</v>
      </c>
      <c r="Q84" s="35">
        <f t="shared" si="26"/>
        <v>0</v>
      </c>
      <c r="R84" s="35">
        <f t="shared" si="26"/>
        <v>0.22180685358255453</v>
      </c>
      <c r="S84" s="35">
        <f t="shared" si="26"/>
        <v>0.14429822770525971</v>
      </c>
      <c r="T84" s="54"/>
    </row>
    <row r="85" spans="1:25" x14ac:dyDescent="0.25">
      <c r="A85" s="34" t="s">
        <v>33</v>
      </c>
      <c r="B85" s="35">
        <f t="shared" ref="B85:L85" si="27">+B61/B80</f>
        <v>9.9950066577896138E-2</v>
      </c>
      <c r="C85" s="35">
        <f t="shared" si="27"/>
        <v>6.3469424139775354E-2</v>
      </c>
      <c r="D85" s="35">
        <f t="shared" si="27"/>
        <v>9.2714145060715458E-2</v>
      </c>
      <c r="E85" s="35">
        <f t="shared" si="27"/>
        <v>8.6150234741784043E-2</v>
      </c>
      <c r="F85" s="35">
        <f t="shared" si="27"/>
        <v>0.14198655085458112</v>
      </c>
      <c r="G85" s="35">
        <f t="shared" si="27"/>
        <v>0.14847838728435744</v>
      </c>
      <c r="H85" s="35">
        <f t="shared" si="27"/>
        <v>0</v>
      </c>
      <c r="I85" s="35">
        <f t="shared" si="27"/>
        <v>0.11329566854990583</v>
      </c>
      <c r="J85" s="35">
        <f t="shared" si="27"/>
        <v>9.1975443981582986E-2</v>
      </c>
      <c r="K85" s="35">
        <f t="shared" si="27"/>
        <v>0.14629258517034069</v>
      </c>
      <c r="L85" s="35">
        <f t="shared" si="27"/>
        <v>7.7951506911398141E-2</v>
      </c>
      <c r="M85" s="35">
        <f t="shared" ref="M85:S85" si="28">+M61/M80</f>
        <v>7.18232044198895E-2</v>
      </c>
      <c r="N85" s="35">
        <f t="shared" si="28"/>
        <v>0.14387661141804789</v>
      </c>
      <c r="O85" s="35">
        <f t="shared" si="28"/>
        <v>0.1380013596193066</v>
      </c>
      <c r="P85" s="35">
        <f t="shared" si="28"/>
        <v>0</v>
      </c>
      <c r="Q85" s="35">
        <f t="shared" si="28"/>
        <v>0</v>
      </c>
      <c r="R85" s="35">
        <f t="shared" si="28"/>
        <v>0</v>
      </c>
      <c r="S85" s="35">
        <f t="shared" si="28"/>
        <v>0.1057920203120679</v>
      </c>
      <c r="T85" s="54"/>
    </row>
    <row r="86" spans="1:25" x14ac:dyDescent="0.25">
      <c r="V86" s="36"/>
      <c r="W86" s="36"/>
      <c r="X86" s="36"/>
      <c r="Y86" s="36"/>
    </row>
    <row r="87" spans="1:25" ht="15.75" x14ac:dyDescent="0.25">
      <c r="V87" s="108" t="s">
        <v>34</v>
      </c>
      <c r="W87" s="109"/>
      <c r="X87" s="37">
        <f>S80</f>
        <v>86206.88</v>
      </c>
      <c r="Y87" s="17"/>
    </row>
    <row r="88" spans="1:25" x14ac:dyDescent="0.25">
      <c r="Y88" s="17"/>
    </row>
    <row r="89" spans="1:25" ht="15.75" x14ac:dyDescent="0.25">
      <c r="E89" s="4" t="s">
        <v>42</v>
      </c>
      <c r="G89" s="4">
        <v>2912</v>
      </c>
      <c r="V89" s="108" t="s">
        <v>36</v>
      </c>
      <c r="W89" s="109"/>
      <c r="X89" s="37">
        <f>X87-G89-G90-G93-G94</f>
        <v>61354.880000000005</v>
      </c>
      <c r="Y89" s="17"/>
    </row>
    <row r="90" spans="1:25" x14ac:dyDescent="0.25">
      <c r="E90" s="4" t="s">
        <v>52</v>
      </c>
      <c r="G90" s="4">
        <v>6724</v>
      </c>
    </row>
    <row r="91" spans="1:25" ht="15.75" x14ac:dyDescent="0.25">
      <c r="V91" s="108" t="s">
        <v>35</v>
      </c>
      <c r="W91" s="109"/>
      <c r="X91" s="37"/>
    </row>
    <row r="93" spans="1:25" x14ac:dyDescent="0.25">
      <c r="E93" s="4" t="s">
        <v>46</v>
      </c>
      <c r="G93" s="4">
        <f>J80</f>
        <v>9122</v>
      </c>
    </row>
    <row r="94" spans="1:25" x14ac:dyDescent="0.25">
      <c r="E94" s="4" t="s">
        <v>47</v>
      </c>
      <c r="G94" s="4">
        <f>D80</f>
        <v>6094</v>
      </c>
    </row>
  </sheetData>
  <mergeCells count="4">
    <mergeCell ref="A1:S2"/>
    <mergeCell ref="V87:W87"/>
    <mergeCell ref="V91:W91"/>
    <mergeCell ref="V89:W8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tabSelected="1" topLeftCell="A46" zoomScaleNormal="100" workbookViewId="0">
      <selection activeCell="W79" sqref="W79"/>
    </sheetView>
  </sheetViews>
  <sheetFormatPr baseColWidth="10" defaultRowHeight="15" x14ac:dyDescent="0.25"/>
  <cols>
    <col min="1" max="1" width="14" style="4" customWidth="1"/>
    <col min="2" max="3" width="10" style="4" customWidth="1"/>
    <col min="4" max="4" width="14.5703125" style="4" customWidth="1"/>
    <col min="5" max="5" width="9.7109375" style="4" customWidth="1"/>
    <col min="6" max="6" width="10.42578125" style="4" customWidth="1"/>
    <col min="7" max="7" width="8.85546875" style="4" customWidth="1"/>
    <col min="8" max="8" width="10.140625" style="4" customWidth="1"/>
    <col min="9" max="9" width="9.85546875" style="4" customWidth="1"/>
    <col min="10" max="10" width="11.42578125" style="4"/>
    <col min="11" max="11" width="9.85546875" style="4" customWidth="1"/>
    <col min="12" max="12" width="9.42578125" style="4" customWidth="1"/>
    <col min="13" max="13" width="13.7109375" style="4" customWidth="1"/>
    <col min="14" max="14" width="9.42578125" style="4" customWidth="1"/>
    <col min="15" max="15" width="11.42578125" style="4"/>
    <col min="16" max="16" width="9.7109375" style="88" customWidth="1"/>
    <col min="17" max="17" width="10.42578125" style="4" customWidth="1"/>
    <col min="18" max="18" width="10.28515625" style="4" customWidth="1"/>
    <col min="19" max="19" width="8.5703125" style="97" customWidth="1"/>
    <col min="20" max="20" width="9.5703125" style="4" customWidth="1"/>
    <col min="21" max="23" width="11.42578125" style="4"/>
    <col min="24" max="24" width="16.7109375" style="4" customWidth="1"/>
    <col min="25" max="25" width="15.7109375" style="4" customWidth="1"/>
    <col min="26" max="16384" width="11.42578125" style="4"/>
  </cols>
  <sheetData>
    <row r="1" spans="1:23" ht="15" customHeight="1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10" t="s">
        <v>48</v>
      </c>
    </row>
    <row r="2" spans="1:23" ht="15.75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10"/>
    </row>
    <row r="3" spans="1:23" ht="15.75" customHeight="1" thickBot="1" x14ac:dyDescent="0.3">
      <c r="A3" s="5" t="s">
        <v>0</v>
      </c>
      <c r="B3" s="6" t="s">
        <v>1</v>
      </c>
      <c r="C3" s="6" t="s">
        <v>2</v>
      </c>
      <c r="D3" s="83" t="s">
        <v>47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85" t="s">
        <v>46</v>
      </c>
      <c r="K3" s="6" t="s">
        <v>40</v>
      </c>
      <c r="L3" s="6" t="s">
        <v>8</v>
      </c>
      <c r="M3" s="6" t="s">
        <v>9</v>
      </c>
      <c r="N3" s="6" t="s">
        <v>10</v>
      </c>
      <c r="O3" s="6" t="s">
        <v>38</v>
      </c>
      <c r="P3" s="7" t="s">
        <v>39</v>
      </c>
      <c r="Q3" s="6" t="s">
        <v>41</v>
      </c>
      <c r="R3" s="6" t="s">
        <v>11</v>
      </c>
      <c r="S3" s="95"/>
      <c r="T3" s="110"/>
      <c r="V3" s="9" t="s">
        <v>43</v>
      </c>
    </row>
    <row r="4" spans="1:23" ht="15.75" customHeight="1" thickBot="1" x14ac:dyDescent="0.3">
      <c r="A4" s="39" t="s">
        <v>12</v>
      </c>
      <c r="B4" s="39">
        <f>1297-B19-B34-B49-B64</f>
        <v>426</v>
      </c>
      <c r="C4" s="39">
        <v>382</v>
      </c>
      <c r="D4" s="84">
        <f>322-D19-D34-D49-D64</f>
        <v>223</v>
      </c>
      <c r="E4" s="39">
        <f>344-E19-E34-E49-E64</f>
        <v>11</v>
      </c>
      <c r="F4" s="39">
        <v>366</v>
      </c>
      <c r="G4" s="39">
        <v>221</v>
      </c>
      <c r="H4" s="39">
        <v>66</v>
      </c>
      <c r="I4" s="39">
        <v>664</v>
      </c>
      <c r="J4" s="59">
        <v>404</v>
      </c>
      <c r="K4" s="39">
        <f>299-K19-K34-K49-K64</f>
        <v>256</v>
      </c>
      <c r="L4" s="39">
        <v>152</v>
      </c>
      <c r="M4" s="39">
        <f>165-M19-M34-M49-M64</f>
        <v>113</v>
      </c>
      <c r="N4" s="39">
        <v>197</v>
      </c>
      <c r="O4" s="77">
        <v>80</v>
      </c>
      <c r="P4" s="106">
        <v>93</v>
      </c>
      <c r="Q4" s="78">
        <v>96</v>
      </c>
      <c r="R4" s="39"/>
      <c r="S4" s="38">
        <f>SUM(B4:R4)</f>
        <v>3750</v>
      </c>
      <c r="T4" s="47">
        <f t="shared" ref="T4:T5" si="0">S4-J4-D4</f>
        <v>3123</v>
      </c>
    </row>
    <row r="5" spans="1:23" ht="16.5" thickBot="1" x14ac:dyDescent="0.3">
      <c r="A5" s="39" t="s">
        <v>13</v>
      </c>
      <c r="B5" s="39">
        <f>1120.5-B20-B35-B50-B65</f>
        <v>336.5</v>
      </c>
      <c r="C5" s="39">
        <v>167</v>
      </c>
      <c r="D5" s="59">
        <f>621-D20-D35-D50-D65</f>
        <v>525</v>
      </c>
      <c r="E5" s="39">
        <f>628-E20-E35-E50-E65</f>
        <v>258</v>
      </c>
      <c r="F5" s="39">
        <v>693</v>
      </c>
      <c r="G5" s="39">
        <v>101</v>
      </c>
      <c r="H5" s="39">
        <v>73</v>
      </c>
      <c r="I5" s="39">
        <v>512</v>
      </c>
      <c r="J5" s="59">
        <v>562</v>
      </c>
      <c r="K5" s="39">
        <v>221</v>
      </c>
      <c r="L5" s="39">
        <v>146</v>
      </c>
      <c r="M5" s="39">
        <v>40</v>
      </c>
      <c r="N5" s="39">
        <v>279</v>
      </c>
      <c r="O5" s="39">
        <v>94</v>
      </c>
      <c r="P5" s="107">
        <v>88</v>
      </c>
      <c r="Q5" s="39"/>
      <c r="R5" s="39">
        <v>238</v>
      </c>
      <c r="S5" s="38">
        <f>SUM(B5:R5)</f>
        <v>4333.5</v>
      </c>
      <c r="T5" s="47">
        <f t="shared" si="0"/>
        <v>3246.5</v>
      </c>
    </row>
    <row r="6" spans="1:23" ht="16.5" thickBot="1" x14ac:dyDescent="0.3">
      <c r="A6" s="39" t="s">
        <v>14</v>
      </c>
      <c r="B6" s="39">
        <f>1122-B21-B36-B51</f>
        <v>196</v>
      </c>
      <c r="C6" s="39">
        <v>261</v>
      </c>
      <c r="D6" s="59">
        <v>532</v>
      </c>
      <c r="E6" s="81">
        <v>446</v>
      </c>
      <c r="F6" s="39">
        <v>383</v>
      </c>
      <c r="G6" s="81">
        <v>373</v>
      </c>
      <c r="H6" s="39">
        <v>71</v>
      </c>
      <c r="I6" s="39">
        <f>1140-I21-I36-I51-I66</f>
        <v>283</v>
      </c>
      <c r="J6" s="59">
        <f>1526-J21-J36-J51</f>
        <v>1036</v>
      </c>
      <c r="K6" s="39">
        <v>179</v>
      </c>
      <c r="L6" s="39">
        <v>156</v>
      </c>
      <c r="M6" s="39">
        <v>276</v>
      </c>
      <c r="N6" s="39">
        <v>180</v>
      </c>
      <c r="O6" s="39">
        <v>75</v>
      </c>
      <c r="P6" s="39">
        <v>87</v>
      </c>
      <c r="Q6" s="39">
        <v>163</v>
      </c>
      <c r="R6" s="39">
        <v>277</v>
      </c>
      <c r="S6" s="38">
        <f>SUM(B6:R6)</f>
        <v>4974</v>
      </c>
      <c r="T6" s="47">
        <f>S6-J6-D6</f>
        <v>3406</v>
      </c>
      <c r="U6" s="4">
        <f>T4+T5+T6</f>
        <v>9775.5</v>
      </c>
      <c r="V6" s="13"/>
      <c r="W6" s="14" t="s">
        <v>44</v>
      </c>
    </row>
    <row r="7" spans="1:23" ht="16.5" thickBot="1" x14ac:dyDescent="0.3">
      <c r="A7" s="39" t="s">
        <v>15</v>
      </c>
      <c r="B7" s="39">
        <f>1006-B22-B37-B52-B67</f>
        <v>74</v>
      </c>
      <c r="C7" s="39">
        <v>327</v>
      </c>
      <c r="D7" s="59">
        <v>1330</v>
      </c>
      <c r="E7" s="39">
        <v>330</v>
      </c>
      <c r="F7" s="39">
        <v>452</v>
      </c>
      <c r="G7" s="39">
        <v>279</v>
      </c>
      <c r="H7" s="39">
        <v>67</v>
      </c>
      <c r="I7" s="39">
        <v>460</v>
      </c>
      <c r="J7" s="59">
        <f>1392-J22-J37-J52-J67</f>
        <v>603</v>
      </c>
      <c r="K7" s="39"/>
      <c r="L7" s="39">
        <v>155</v>
      </c>
      <c r="M7" s="39">
        <v>147</v>
      </c>
      <c r="N7" s="39">
        <v>200</v>
      </c>
      <c r="O7" s="39">
        <v>87</v>
      </c>
      <c r="P7" s="39">
        <v>66</v>
      </c>
      <c r="Q7" s="39"/>
      <c r="R7" s="39">
        <v>472</v>
      </c>
      <c r="S7" s="38">
        <f t="shared" ref="S7:S16" si="1">SUM(B7:R7)</f>
        <v>5049</v>
      </c>
      <c r="T7" s="47">
        <f>S7-J7-D7</f>
        <v>3116</v>
      </c>
    </row>
    <row r="8" spans="1:23" ht="16.5" thickBot="1" x14ac:dyDescent="0.3">
      <c r="A8" s="39" t="s">
        <v>16</v>
      </c>
      <c r="B8" s="39">
        <f>1342-B23-B38-B53-B68</f>
        <v>186</v>
      </c>
      <c r="C8" s="39">
        <v>382</v>
      </c>
      <c r="D8" s="59">
        <v>231</v>
      </c>
      <c r="E8" s="39">
        <v>449</v>
      </c>
      <c r="F8" s="39">
        <v>552</v>
      </c>
      <c r="G8" s="39">
        <v>689</v>
      </c>
      <c r="H8" s="39">
        <v>53</v>
      </c>
      <c r="I8" s="39">
        <v>493</v>
      </c>
      <c r="J8" s="59">
        <f>1465-J23-J38-J53-J68</f>
        <v>781</v>
      </c>
      <c r="K8" s="39">
        <v>305</v>
      </c>
      <c r="L8" s="39">
        <v>126</v>
      </c>
      <c r="M8" s="39">
        <v>287</v>
      </c>
      <c r="N8" s="39">
        <v>179</v>
      </c>
      <c r="O8" s="39">
        <v>42</v>
      </c>
      <c r="P8" s="39">
        <v>45</v>
      </c>
      <c r="Q8" s="39">
        <v>7</v>
      </c>
      <c r="R8" s="39">
        <v>77</v>
      </c>
      <c r="S8" s="38">
        <f t="shared" si="1"/>
        <v>4884</v>
      </c>
      <c r="T8" s="47">
        <f>S8-J8-D8</f>
        <v>3872</v>
      </c>
    </row>
    <row r="9" spans="1:23" ht="16.5" thickBot="1" x14ac:dyDescent="0.3">
      <c r="A9" s="39" t="s">
        <v>17</v>
      </c>
      <c r="B9" s="39">
        <v>924</v>
      </c>
      <c r="C9" s="39">
        <v>511</v>
      </c>
      <c r="D9" s="59">
        <v>174</v>
      </c>
      <c r="E9" s="73">
        <v>521</v>
      </c>
      <c r="F9" s="39">
        <v>469</v>
      </c>
      <c r="G9" s="39">
        <v>153</v>
      </c>
      <c r="H9" s="74">
        <v>76</v>
      </c>
      <c r="I9" s="39">
        <v>374</v>
      </c>
      <c r="J9" s="59">
        <v>389</v>
      </c>
      <c r="K9" s="39"/>
      <c r="L9" s="39">
        <v>160</v>
      </c>
      <c r="M9" s="39">
        <v>209</v>
      </c>
      <c r="N9" s="39">
        <v>423</v>
      </c>
      <c r="O9" s="39">
        <v>60</v>
      </c>
      <c r="P9" s="39">
        <v>92</v>
      </c>
      <c r="Q9" s="39"/>
      <c r="R9" s="39"/>
      <c r="S9" s="38">
        <f t="shared" si="1"/>
        <v>4535</v>
      </c>
      <c r="T9" s="47">
        <f t="shared" ref="T9:T15" si="2">S9-J9-D9</f>
        <v>3972</v>
      </c>
      <c r="U9" s="4">
        <f>T7+T8+T9</f>
        <v>10960</v>
      </c>
    </row>
    <row r="10" spans="1:23" ht="16.5" thickBot="1" x14ac:dyDescent="0.3">
      <c r="A10" s="2" t="s">
        <v>18</v>
      </c>
      <c r="B10" s="2"/>
      <c r="C10" s="2"/>
      <c r="D10" s="59"/>
      <c r="E10" s="2"/>
      <c r="F10" s="2"/>
      <c r="G10" s="2"/>
      <c r="H10" s="2"/>
      <c r="I10" s="2"/>
      <c r="J10" s="59"/>
      <c r="K10" s="2"/>
      <c r="L10" s="2"/>
      <c r="M10" s="2"/>
      <c r="N10" s="2"/>
      <c r="O10" s="2"/>
      <c r="P10" s="2"/>
      <c r="Q10" s="2"/>
      <c r="R10" s="2"/>
      <c r="S10" s="38">
        <f t="shared" si="1"/>
        <v>0</v>
      </c>
      <c r="T10" s="64">
        <f t="shared" si="2"/>
        <v>0</v>
      </c>
    </row>
    <row r="11" spans="1:23" ht="16.5" thickBot="1" x14ac:dyDescent="0.3">
      <c r="A11" s="2" t="s">
        <v>19</v>
      </c>
      <c r="B11" s="2"/>
      <c r="C11" s="2"/>
      <c r="D11" s="59"/>
      <c r="E11" s="2"/>
      <c r="F11" s="2"/>
      <c r="G11" s="2"/>
      <c r="H11" s="2"/>
      <c r="I11" s="2"/>
      <c r="J11" s="59"/>
      <c r="K11" s="2"/>
      <c r="L11" s="2"/>
      <c r="M11" s="2"/>
      <c r="N11" s="2"/>
      <c r="O11" s="2"/>
      <c r="P11" s="2"/>
      <c r="Q11" s="2"/>
      <c r="R11" s="2"/>
      <c r="S11" s="38">
        <f t="shared" si="1"/>
        <v>0</v>
      </c>
      <c r="T11" s="64">
        <f t="shared" si="2"/>
        <v>0</v>
      </c>
    </row>
    <row r="12" spans="1:23" ht="16.5" thickBot="1" x14ac:dyDescent="0.3">
      <c r="A12" s="2" t="s">
        <v>20</v>
      </c>
      <c r="B12" s="2"/>
      <c r="C12" s="2"/>
      <c r="D12" s="59"/>
      <c r="E12" s="2"/>
      <c r="F12" s="2"/>
      <c r="G12" s="2"/>
      <c r="H12" s="2"/>
      <c r="I12" s="2"/>
      <c r="J12" s="59"/>
      <c r="K12" s="2"/>
      <c r="L12" s="2"/>
      <c r="M12" s="2"/>
      <c r="N12" s="2"/>
      <c r="O12" s="2"/>
      <c r="P12" s="2"/>
      <c r="Q12" s="2"/>
      <c r="R12" s="2"/>
      <c r="S12" s="38">
        <f t="shared" si="1"/>
        <v>0</v>
      </c>
      <c r="T12" s="64">
        <f t="shared" si="2"/>
        <v>0</v>
      </c>
    </row>
    <row r="13" spans="1:23" ht="16.5" thickBot="1" x14ac:dyDescent="0.3">
      <c r="A13" s="2" t="s">
        <v>21</v>
      </c>
      <c r="B13" s="2"/>
      <c r="C13" s="2"/>
      <c r="D13" s="59"/>
      <c r="E13" s="2"/>
      <c r="F13" s="2"/>
      <c r="G13" s="2"/>
      <c r="H13" s="2"/>
      <c r="I13" s="10"/>
      <c r="J13" s="59"/>
      <c r="K13" s="2"/>
      <c r="L13" s="2"/>
      <c r="M13" s="3"/>
      <c r="N13" s="2"/>
      <c r="O13" s="3"/>
      <c r="P13" s="3"/>
      <c r="Q13" s="3"/>
      <c r="R13" s="3"/>
      <c r="S13" s="38">
        <f t="shared" si="1"/>
        <v>0</v>
      </c>
      <c r="T13" s="64">
        <f t="shared" si="2"/>
        <v>0</v>
      </c>
    </row>
    <row r="14" spans="1:23" ht="16.5" thickBot="1" x14ac:dyDescent="0.3">
      <c r="A14" s="2" t="s">
        <v>22</v>
      </c>
      <c r="B14" s="2"/>
      <c r="C14" s="2"/>
      <c r="D14" s="59"/>
      <c r="E14" s="2"/>
      <c r="F14" s="2"/>
      <c r="G14" s="2"/>
      <c r="H14" s="2"/>
      <c r="I14" s="2"/>
      <c r="J14" s="59"/>
      <c r="K14" s="2"/>
      <c r="L14" s="2"/>
      <c r="M14" s="2"/>
      <c r="N14" s="2"/>
      <c r="O14" s="2"/>
      <c r="P14" s="2"/>
      <c r="Q14" s="2"/>
      <c r="R14" s="2"/>
      <c r="S14" s="38">
        <f t="shared" si="1"/>
        <v>0</v>
      </c>
      <c r="T14" s="64">
        <f t="shared" si="2"/>
        <v>0</v>
      </c>
    </row>
    <row r="15" spans="1:23" ht="16.5" thickBot="1" x14ac:dyDescent="0.3">
      <c r="A15" s="2" t="s">
        <v>23</v>
      </c>
      <c r="B15" s="2"/>
      <c r="C15" s="2"/>
      <c r="D15" s="59"/>
      <c r="E15" s="2"/>
      <c r="F15" s="2"/>
      <c r="G15" s="2"/>
      <c r="H15" s="2"/>
      <c r="I15" s="2"/>
      <c r="J15" s="59"/>
      <c r="K15" s="2"/>
      <c r="L15" s="2"/>
      <c r="M15" s="2"/>
      <c r="N15" s="2"/>
      <c r="O15" s="2"/>
      <c r="P15" s="2"/>
      <c r="Q15" s="2"/>
      <c r="R15" s="2"/>
      <c r="S15" s="38">
        <f t="shared" si="1"/>
        <v>0</v>
      </c>
      <c r="T15" s="64">
        <f t="shared" si="2"/>
        <v>0</v>
      </c>
    </row>
    <row r="16" spans="1:23" ht="16.5" thickBot="1" x14ac:dyDescent="0.3">
      <c r="A16" s="6" t="s">
        <v>24</v>
      </c>
      <c r="B16" s="5">
        <f>SUM(B4:B15)</f>
        <v>2142.5</v>
      </c>
      <c r="C16" s="5">
        <f t="shared" ref="C16:R16" si="3">SUM(C4:C15)</f>
        <v>2030</v>
      </c>
      <c r="D16" s="86">
        <f t="shared" si="3"/>
        <v>3015</v>
      </c>
      <c r="E16" s="5">
        <f>SUM(E4:E15)</f>
        <v>2015</v>
      </c>
      <c r="F16" s="5">
        <f t="shared" si="3"/>
        <v>2915</v>
      </c>
      <c r="G16" s="5">
        <f t="shared" si="3"/>
        <v>1816</v>
      </c>
      <c r="H16" s="5">
        <f t="shared" si="3"/>
        <v>406</v>
      </c>
      <c r="I16" s="5">
        <f t="shared" si="3"/>
        <v>2786</v>
      </c>
      <c r="J16" s="86">
        <f t="shared" si="3"/>
        <v>3775</v>
      </c>
      <c r="K16" s="5">
        <f t="shared" si="3"/>
        <v>961</v>
      </c>
      <c r="L16" s="5">
        <f t="shared" si="3"/>
        <v>895</v>
      </c>
      <c r="M16" s="5">
        <f t="shared" si="3"/>
        <v>1072</v>
      </c>
      <c r="N16" s="5">
        <f t="shared" si="3"/>
        <v>1458</v>
      </c>
      <c r="O16" s="5">
        <f t="shared" si="3"/>
        <v>438</v>
      </c>
      <c r="P16" s="5">
        <f t="shared" si="3"/>
        <v>471</v>
      </c>
      <c r="Q16" s="5">
        <f t="shared" si="3"/>
        <v>266</v>
      </c>
      <c r="R16" s="5">
        <f t="shared" si="3"/>
        <v>1064</v>
      </c>
      <c r="S16" s="96">
        <f t="shared" si="1"/>
        <v>27525.5</v>
      </c>
      <c r="T16" s="15">
        <f>SUM(T4:T15)</f>
        <v>20735.5</v>
      </c>
      <c r="U16" s="16">
        <f>+S16/$S$80</f>
        <v>0.45539976010257682</v>
      </c>
    </row>
    <row r="17" spans="1:25" ht="15.75" thickBot="1" x14ac:dyDescent="0.3"/>
    <row r="18" spans="1:25" ht="16.5" thickBot="1" x14ac:dyDescent="0.3">
      <c r="A18" s="5" t="s">
        <v>26</v>
      </c>
      <c r="B18" s="6" t="s">
        <v>1</v>
      </c>
      <c r="C18" s="6" t="s">
        <v>2</v>
      </c>
      <c r="D18" s="85" t="s">
        <v>51</v>
      </c>
      <c r="E18" s="6" t="s">
        <v>3</v>
      </c>
      <c r="F18" s="6" t="s">
        <v>4</v>
      </c>
      <c r="G18" s="6" t="s">
        <v>5</v>
      </c>
      <c r="H18" s="6" t="s">
        <v>6</v>
      </c>
      <c r="I18" s="6" t="s">
        <v>7</v>
      </c>
      <c r="J18" s="85" t="s">
        <v>50</v>
      </c>
      <c r="K18" s="6" t="s">
        <v>40</v>
      </c>
      <c r="L18" s="6" t="s">
        <v>8</v>
      </c>
      <c r="M18" s="6" t="s">
        <v>9</v>
      </c>
      <c r="N18" s="6" t="s">
        <v>10</v>
      </c>
      <c r="O18" s="6" t="s">
        <v>38</v>
      </c>
      <c r="P18" s="6" t="s">
        <v>39</v>
      </c>
      <c r="Q18" s="6" t="s">
        <v>41</v>
      </c>
      <c r="R18" s="6" t="s">
        <v>11</v>
      </c>
      <c r="S18" s="95"/>
      <c r="T18" s="45"/>
    </row>
    <row r="19" spans="1:25" ht="16.5" thickBot="1" x14ac:dyDescent="0.3">
      <c r="A19" s="61" t="s">
        <v>12</v>
      </c>
      <c r="B19" s="61">
        <v>541</v>
      </c>
      <c r="C19" s="61">
        <v>192</v>
      </c>
      <c r="D19" s="59">
        <v>25</v>
      </c>
      <c r="E19" s="61">
        <v>228</v>
      </c>
      <c r="F19" s="61">
        <v>297</v>
      </c>
      <c r="G19" s="75">
        <v>187</v>
      </c>
      <c r="H19" s="61"/>
      <c r="I19" s="61">
        <v>267</v>
      </c>
      <c r="J19" s="59"/>
      <c r="K19" s="61">
        <v>43</v>
      </c>
      <c r="L19" s="61">
        <v>146</v>
      </c>
      <c r="M19" s="61">
        <v>52</v>
      </c>
      <c r="N19" s="61"/>
      <c r="O19" s="61"/>
      <c r="P19" s="61">
        <v>65</v>
      </c>
      <c r="Q19" s="61"/>
      <c r="R19" s="61">
        <v>126</v>
      </c>
      <c r="S19" s="38">
        <f t="shared" ref="S19:S31" si="4">SUM(B19:R19)</f>
        <v>2169</v>
      </c>
      <c r="T19" s="65">
        <f t="shared" ref="T19:T22" si="5">S19-J19-D19</f>
        <v>2144</v>
      </c>
    </row>
    <row r="20" spans="1:25" ht="16.5" thickBot="1" x14ac:dyDescent="0.3">
      <c r="A20" s="61" t="s">
        <v>13</v>
      </c>
      <c r="B20" s="61">
        <v>618</v>
      </c>
      <c r="C20" s="61">
        <v>257</v>
      </c>
      <c r="D20" s="59">
        <v>44</v>
      </c>
      <c r="E20" s="61">
        <v>304</v>
      </c>
      <c r="F20" s="61">
        <v>288</v>
      </c>
      <c r="G20" s="61">
        <v>197</v>
      </c>
      <c r="H20" s="61"/>
      <c r="I20" s="61">
        <v>158</v>
      </c>
      <c r="J20" s="59">
        <v>30</v>
      </c>
      <c r="K20" s="61"/>
      <c r="L20" s="61">
        <v>170</v>
      </c>
      <c r="M20" s="61">
        <v>77</v>
      </c>
      <c r="N20" s="61">
        <v>101</v>
      </c>
      <c r="O20" s="61"/>
      <c r="P20" s="61">
        <v>43</v>
      </c>
      <c r="Q20" s="61"/>
      <c r="R20" s="61"/>
      <c r="S20" s="38">
        <f t="shared" si="4"/>
        <v>2287</v>
      </c>
      <c r="T20" s="65">
        <f t="shared" si="5"/>
        <v>2213</v>
      </c>
    </row>
    <row r="21" spans="1:25" ht="16.5" thickBot="1" x14ac:dyDescent="0.3">
      <c r="A21" s="61" t="s">
        <v>14</v>
      </c>
      <c r="B21" s="61">
        <v>639</v>
      </c>
      <c r="C21" s="61">
        <v>158</v>
      </c>
      <c r="D21" s="59">
        <v>49</v>
      </c>
      <c r="E21" s="61">
        <v>274</v>
      </c>
      <c r="F21" s="61">
        <v>467</v>
      </c>
      <c r="G21" s="61">
        <v>193</v>
      </c>
      <c r="H21" s="61"/>
      <c r="I21" s="61">
        <v>294</v>
      </c>
      <c r="J21" s="59"/>
      <c r="K21" s="61">
        <v>30</v>
      </c>
      <c r="L21" s="61">
        <v>252</v>
      </c>
      <c r="M21" s="61"/>
      <c r="N21" s="61">
        <v>140</v>
      </c>
      <c r="O21" s="61"/>
      <c r="P21" s="61">
        <v>27</v>
      </c>
      <c r="Q21" s="61"/>
      <c r="R21" s="61"/>
      <c r="S21" s="38">
        <f t="shared" si="4"/>
        <v>2523</v>
      </c>
      <c r="T21" s="65">
        <f t="shared" si="5"/>
        <v>2474</v>
      </c>
      <c r="U21" s="4">
        <f>T19+T20+T21</f>
        <v>6831</v>
      </c>
      <c r="V21" s="4">
        <v>580</v>
      </c>
    </row>
    <row r="22" spans="1:25" ht="18" customHeight="1" thickBot="1" x14ac:dyDescent="0.3">
      <c r="A22" s="89" t="s">
        <v>15</v>
      </c>
      <c r="B22" s="61">
        <v>612</v>
      </c>
      <c r="C22" s="61">
        <v>102</v>
      </c>
      <c r="D22" s="59">
        <v>1301</v>
      </c>
      <c r="E22" s="61">
        <v>325</v>
      </c>
      <c r="F22" s="61">
        <v>527</v>
      </c>
      <c r="G22" s="61">
        <v>207</v>
      </c>
      <c r="H22" s="61"/>
      <c r="I22" s="61">
        <v>224</v>
      </c>
      <c r="J22" s="59">
        <v>419</v>
      </c>
      <c r="K22" s="61"/>
      <c r="L22" s="61">
        <v>213</v>
      </c>
      <c r="M22" s="61"/>
      <c r="N22" s="61">
        <v>123</v>
      </c>
      <c r="O22" s="61"/>
      <c r="P22" s="61"/>
      <c r="Q22" s="61"/>
      <c r="R22" s="61"/>
      <c r="S22" s="38">
        <f t="shared" si="4"/>
        <v>4053</v>
      </c>
      <c r="T22" s="65">
        <f t="shared" si="5"/>
        <v>2333</v>
      </c>
      <c r="V22" s="13"/>
    </row>
    <row r="23" spans="1:25" ht="16.5" thickBot="1" x14ac:dyDescent="0.3">
      <c r="A23" s="61" t="s">
        <v>16</v>
      </c>
      <c r="B23" s="61">
        <v>670</v>
      </c>
      <c r="C23" s="61">
        <v>118</v>
      </c>
      <c r="D23" s="59">
        <v>115</v>
      </c>
      <c r="E23" s="61">
        <v>304</v>
      </c>
      <c r="F23" s="61">
        <v>518</v>
      </c>
      <c r="G23" s="61">
        <v>205</v>
      </c>
      <c r="H23" s="61"/>
      <c r="I23" s="61">
        <v>416</v>
      </c>
      <c r="J23" s="59">
        <v>103</v>
      </c>
      <c r="K23" s="61"/>
      <c r="L23" s="61">
        <v>229</v>
      </c>
      <c r="M23" s="61"/>
      <c r="N23" s="61"/>
      <c r="O23" s="61"/>
      <c r="P23" s="61">
        <v>13</v>
      </c>
      <c r="Q23" s="61"/>
      <c r="R23" s="61"/>
      <c r="S23" s="38">
        <f>SUM(B23:R23)</f>
        <v>2691</v>
      </c>
      <c r="T23" s="65">
        <f>S23-J23-D23</f>
        <v>2473</v>
      </c>
    </row>
    <row r="24" spans="1:25" ht="16.5" thickBot="1" x14ac:dyDescent="0.3">
      <c r="A24" s="61" t="s">
        <v>17</v>
      </c>
      <c r="B24" s="61">
        <v>808</v>
      </c>
      <c r="C24" s="61">
        <v>257</v>
      </c>
      <c r="D24" s="59">
        <v>33</v>
      </c>
      <c r="E24" s="61">
        <v>401</v>
      </c>
      <c r="F24" s="61">
        <v>415</v>
      </c>
      <c r="G24" s="61">
        <v>281</v>
      </c>
      <c r="H24" s="61"/>
      <c r="I24" s="75">
        <v>283</v>
      </c>
      <c r="J24" s="59">
        <v>280</v>
      </c>
      <c r="K24" s="61"/>
      <c r="L24" s="61">
        <v>248</v>
      </c>
      <c r="M24" s="61"/>
      <c r="N24" s="61"/>
      <c r="O24" s="61"/>
      <c r="P24" s="61"/>
      <c r="Q24" s="61"/>
      <c r="R24" s="61"/>
      <c r="S24" s="38">
        <f t="shared" si="4"/>
        <v>3006</v>
      </c>
      <c r="T24" s="65">
        <f t="shared" ref="T24:T30" si="6">S24-J24-D24</f>
        <v>2693</v>
      </c>
      <c r="U24" s="4">
        <f>T22+T23+T24</f>
        <v>7499</v>
      </c>
    </row>
    <row r="25" spans="1:25" ht="16.5" thickBot="1" x14ac:dyDescent="0.3">
      <c r="A25" s="2" t="s">
        <v>18</v>
      </c>
      <c r="B25" s="2"/>
      <c r="C25" s="2"/>
      <c r="D25" s="59"/>
      <c r="E25" s="2"/>
      <c r="F25" s="2"/>
      <c r="G25" s="2"/>
      <c r="H25" s="2"/>
      <c r="I25" s="2"/>
      <c r="J25" s="59"/>
      <c r="K25" s="2"/>
      <c r="L25" s="2"/>
      <c r="M25" s="2"/>
      <c r="N25" s="2"/>
      <c r="O25" s="2"/>
      <c r="P25" s="2"/>
      <c r="Q25" s="2"/>
      <c r="R25" s="2"/>
      <c r="S25" s="38">
        <f t="shared" si="4"/>
        <v>0</v>
      </c>
      <c r="T25" s="46">
        <f t="shared" si="6"/>
        <v>0</v>
      </c>
    </row>
    <row r="26" spans="1:25" ht="16.5" thickBot="1" x14ac:dyDescent="0.3">
      <c r="A26" s="2" t="s">
        <v>19</v>
      </c>
      <c r="B26" s="2"/>
      <c r="C26" s="2"/>
      <c r="D26" s="59"/>
      <c r="E26" s="2"/>
      <c r="F26" s="2"/>
      <c r="G26" s="2"/>
      <c r="H26" s="2"/>
      <c r="I26" s="2"/>
      <c r="J26" s="59"/>
      <c r="K26" s="2"/>
      <c r="L26" s="2"/>
      <c r="M26" s="2"/>
      <c r="N26" s="2"/>
      <c r="O26" s="2"/>
      <c r="P26" s="2"/>
      <c r="Q26" s="2"/>
      <c r="R26" s="2"/>
      <c r="S26" s="38">
        <f t="shared" si="4"/>
        <v>0</v>
      </c>
      <c r="T26" s="46">
        <f t="shared" si="6"/>
        <v>0</v>
      </c>
    </row>
    <row r="27" spans="1:25" ht="16.5" thickBot="1" x14ac:dyDescent="0.3">
      <c r="A27" s="2" t="s">
        <v>20</v>
      </c>
      <c r="B27" s="2"/>
      <c r="C27" s="2"/>
      <c r="D27" s="59"/>
      <c r="E27" s="2"/>
      <c r="F27" s="2"/>
      <c r="G27" s="2"/>
      <c r="H27" s="2"/>
      <c r="I27" s="2"/>
      <c r="J27" s="59"/>
      <c r="K27" s="2"/>
      <c r="L27" s="2"/>
      <c r="M27" s="2"/>
      <c r="N27" s="2"/>
      <c r="O27" s="2"/>
      <c r="P27" s="2"/>
      <c r="Q27" s="2"/>
      <c r="R27" s="2"/>
      <c r="S27" s="38">
        <f t="shared" si="4"/>
        <v>0</v>
      </c>
      <c r="T27" s="46">
        <f t="shared" si="6"/>
        <v>0</v>
      </c>
    </row>
    <row r="28" spans="1:25" ht="16.5" thickBot="1" x14ac:dyDescent="0.3">
      <c r="A28" s="2" t="s">
        <v>21</v>
      </c>
      <c r="B28" s="2"/>
      <c r="C28" s="2"/>
      <c r="D28" s="59"/>
      <c r="E28" s="2"/>
      <c r="F28" s="2"/>
      <c r="G28" s="2"/>
      <c r="H28" s="2"/>
      <c r="I28" s="2"/>
      <c r="J28" s="59"/>
      <c r="K28" s="2"/>
      <c r="L28" s="2"/>
      <c r="M28" s="2"/>
      <c r="N28" s="2"/>
      <c r="O28" s="2"/>
      <c r="P28" s="2"/>
      <c r="Q28" s="2"/>
      <c r="R28" s="2"/>
      <c r="S28" s="38">
        <f t="shared" si="4"/>
        <v>0</v>
      </c>
      <c r="T28" s="46">
        <f t="shared" si="6"/>
        <v>0</v>
      </c>
    </row>
    <row r="29" spans="1:25" ht="16.5" thickBot="1" x14ac:dyDescent="0.3">
      <c r="A29" s="2" t="s">
        <v>22</v>
      </c>
      <c r="B29" s="2"/>
      <c r="C29" s="2"/>
      <c r="D29" s="59"/>
      <c r="E29" s="2"/>
      <c r="F29" s="2"/>
      <c r="G29" s="2"/>
      <c r="H29" s="2"/>
      <c r="I29" s="2"/>
      <c r="J29" s="59"/>
      <c r="K29" s="2"/>
      <c r="L29" s="2"/>
      <c r="M29" s="2"/>
      <c r="N29" s="2"/>
      <c r="O29" s="2"/>
      <c r="P29" s="2"/>
      <c r="Q29" s="2"/>
      <c r="R29" s="2"/>
      <c r="S29" s="38">
        <f t="shared" si="4"/>
        <v>0</v>
      </c>
      <c r="T29" s="46">
        <f t="shared" si="6"/>
        <v>0</v>
      </c>
    </row>
    <row r="30" spans="1:25" ht="16.5" thickBot="1" x14ac:dyDescent="0.3">
      <c r="A30" s="2" t="s">
        <v>23</v>
      </c>
      <c r="B30" s="2"/>
      <c r="C30" s="2"/>
      <c r="D30" s="59"/>
      <c r="E30" s="2"/>
      <c r="F30" s="2"/>
      <c r="G30" s="2"/>
      <c r="H30" s="2"/>
      <c r="I30" s="2"/>
      <c r="J30" s="59"/>
      <c r="K30" s="2"/>
      <c r="L30" s="2"/>
      <c r="M30" s="2"/>
      <c r="N30" s="2"/>
      <c r="O30" s="2"/>
      <c r="P30" s="2"/>
      <c r="Q30" s="2"/>
      <c r="R30" s="2"/>
      <c r="S30" s="38">
        <f t="shared" si="4"/>
        <v>0</v>
      </c>
      <c r="T30" s="46">
        <f t="shared" si="6"/>
        <v>0</v>
      </c>
    </row>
    <row r="31" spans="1:25" ht="16.5" thickBot="1" x14ac:dyDescent="0.3">
      <c r="A31" s="6" t="s">
        <v>24</v>
      </c>
      <c r="B31" s="5">
        <f>SUM(B19:B30)</f>
        <v>3888</v>
      </c>
      <c r="C31" s="5">
        <f t="shared" ref="C31:R31" si="7">SUM(C19:C30)</f>
        <v>1084</v>
      </c>
      <c r="D31" s="86">
        <f t="shared" si="7"/>
        <v>1567</v>
      </c>
      <c r="E31" s="5">
        <f t="shared" si="7"/>
        <v>1836</v>
      </c>
      <c r="F31" s="5">
        <f t="shared" si="7"/>
        <v>2512</v>
      </c>
      <c r="G31" s="5">
        <f t="shared" si="7"/>
        <v>1270</v>
      </c>
      <c r="H31" s="5">
        <f t="shared" si="7"/>
        <v>0</v>
      </c>
      <c r="I31" s="5">
        <f t="shared" si="7"/>
        <v>1642</v>
      </c>
      <c r="J31" s="86">
        <f t="shared" si="7"/>
        <v>832</v>
      </c>
      <c r="K31" s="5">
        <f t="shared" si="7"/>
        <v>73</v>
      </c>
      <c r="L31" s="5">
        <f t="shared" si="7"/>
        <v>1258</v>
      </c>
      <c r="M31" s="5">
        <f t="shared" si="7"/>
        <v>129</v>
      </c>
      <c r="N31" s="5">
        <f t="shared" si="7"/>
        <v>364</v>
      </c>
      <c r="O31" s="5">
        <f t="shared" si="7"/>
        <v>0</v>
      </c>
      <c r="P31" s="5">
        <f t="shared" si="7"/>
        <v>148</v>
      </c>
      <c r="Q31" s="5">
        <f t="shared" si="7"/>
        <v>0</v>
      </c>
      <c r="R31" s="5">
        <f t="shared" si="7"/>
        <v>126</v>
      </c>
      <c r="S31" s="96">
        <f t="shared" si="4"/>
        <v>16729</v>
      </c>
      <c r="T31" s="15">
        <f>SUM(T18:T30)</f>
        <v>14330</v>
      </c>
      <c r="U31" s="16">
        <f>+S31/$S$80</f>
        <v>0.27677544773958723</v>
      </c>
    </row>
    <row r="32" spans="1:25" ht="15.75" thickBot="1" x14ac:dyDescent="0.3">
      <c r="V32" s="17"/>
      <c r="W32" s="17"/>
      <c r="X32" s="17"/>
      <c r="Y32" s="17"/>
    </row>
    <row r="33" spans="1:25" ht="15.75" thickBot="1" x14ac:dyDescent="0.3">
      <c r="A33" s="63" t="s">
        <v>25</v>
      </c>
      <c r="B33" s="6" t="s">
        <v>1</v>
      </c>
      <c r="C33" s="6" t="s">
        <v>2</v>
      </c>
      <c r="D33" s="85" t="s">
        <v>51</v>
      </c>
      <c r="E33" s="6" t="s">
        <v>3</v>
      </c>
      <c r="F33" s="6" t="s">
        <v>4</v>
      </c>
      <c r="G33" s="6" t="s">
        <v>5</v>
      </c>
      <c r="H33" s="6" t="s">
        <v>6</v>
      </c>
      <c r="I33" s="6" t="s">
        <v>7</v>
      </c>
      <c r="J33" s="85" t="s">
        <v>50</v>
      </c>
      <c r="K33" s="6" t="s">
        <v>40</v>
      </c>
      <c r="L33" s="6" t="s">
        <v>8</v>
      </c>
      <c r="M33" s="6" t="s">
        <v>9</v>
      </c>
      <c r="N33" s="6" t="s">
        <v>10</v>
      </c>
      <c r="O33" s="6" t="s">
        <v>38</v>
      </c>
      <c r="P33" s="6" t="s">
        <v>39</v>
      </c>
      <c r="Q33" s="6" t="s">
        <v>41</v>
      </c>
      <c r="R33" s="6" t="s">
        <v>11</v>
      </c>
      <c r="S33" s="95"/>
      <c r="T33" s="45"/>
      <c r="V33" s="17"/>
      <c r="W33" s="17"/>
      <c r="X33" s="17"/>
      <c r="Y33" s="17"/>
    </row>
    <row r="34" spans="1:25" ht="15.75" thickBot="1" x14ac:dyDescent="0.3">
      <c r="A34" s="41" t="s">
        <v>12</v>
      </c>
      <c r="B34" s="41">
        <v>135</v>
      </c>
      <c r="C34" s="41">
        <v>6</v>
      </c>
      <c r="D34" s="59">
        <v>47</v>
      </c>
      <c r="E34" s="41">
        <v>17</v>
      </c>
      <c r="F34" s="41">
        <v>189</v>
      </c>
      <c r="G34" s="41">
        <v>112</v>
      </c>
      <c r="H34" s="41"/>
      <c r="I34" s="41">
        <v>161</v>
      </c>
      <c r="J34" s="59"/>
      <c r="K34" s="41"/>
      <c r="L34" s="41">
        <v>123</v>
      </c>
      <c r="M34" s="41"/>
      <c r="N34" s="41"/>
      <c r="O34" s="41"/>
      <c r="P34" s="41"/>
      <c r="Q34" s="41"/>
      <c r="R34" s="41"/>
      <c r="S34" s="98">
        <f t="shared" ref="S34:S45" si="8">SUM(B34:R34)</f>
        <v>790</v>
      </c>
      <c r="T34" s="50">
        <f t="shared" ref="T34:T36" si="9">S34-J34-D34</f>
        <v>743</v>
      </c>
      <c r="V34" s="17"/>
      <c r="W34" s="17"/>
      <c r="X34" s="17"/>
      <c r="Y34" s="17"/>
    </row>
    <row r="35" spans="1:25" ht="15.75" thickBot="1" x14ac:dyDescent="0.3">
      <c r="A35" s="41" t="s">
        <v>13</v>
      </c>
      <c r="B35" s="41">
        <v>91</v>
      </c>
      <c r="C35" s="41">
        <v>79</v>
      </c>
      <c r="D35" s="59"/>
      <c r="E35" s="41"/>
      <c r="F35" s="41">
        <v>18</v>
      </c>
      <c r="G35" s="41"/>
      <c r="H35" s="41"/>
      <c r="I35" s="41">
        <v>173</v>
      </c>
      <c r="J35" s="59"/>
      <c r="K35" s="41"/>
      <c r="L35" s="41"/>
      <c r="M35" s="41"/>
      <c r="N35" s="41"/>
      <c r="O35" s="41"/>
      <c r="P35" s="41">
        <v>8</v>
      </c>
      <c r="Q35" s="41"/>
      <c r="R35" s="41"/>
      <c r="S35" s="98">
        <f t="shared" si="8"/>
        <v>369</v>
      </c>
      <c r="T35" s="50">
        <f t="shared" si="9"/>
        <v>369</v>
      </c>
      <c r="V35" s="17"/>
      <c r="W35" s="17"/>
      <c r="X35" s="17"/>
      <c r="Y35" s="17"/>
    </row>
    <row r="36" spans="1:25" ht="15.75" thickBot="1" x14ac:dyDescent="0.3">
      <c r="A36" s="41" t="s">
        <v>14</v>
      </c>
      <c r="B36" s="41">
        <v>153</v>
      </c>
      <c r="C36" s="41">
        <v>86</v>
      </c>
      <c r="D36" s="59">
        <v>88</v>
      </c>
      <c r="E36" s="41">
        <v>160</v>
      </c>
      <c r="F36" s="41">
        <v>265</v>
      </c>
      <c r="G36" s="41">
        <v>98</v>
      </c>
      <c r="H36" s="41"/>
      <c r="I36" s="41">
        <v>185</v>
      </c>
      <c r="J36" s="59">
        <v>407</v>
      </c>
      <c r="K36" s="41">
        <v>43</v>
      </c>
      <c r="L36" s="41">
        <v>120</v>
      </c>
      <c r="M36" s="41"/>
      <c r="N36" s="41"/>
      <c r="O36" s="41"/>
      <c r="P36" s="41"/>
      <c r="Q36" s="41"/>
      <c r="R36" s="41">
        <v>75</v>
      </c>
      <c r="S36" s="98">
        <f t="shared" si="8"/>
        <v>1680</v>
      </c>
      <c r="T36" s="50">
        <f t="shared" si="9"/>
        <v>1185</v>
      </c>
      <c r="U36" s="4">
        <f>T34+T35+T36</f>
        <v>2297</v>
      </c>
      <c r="V36" s="17">
        <v>1332</v>
      </c>
      <c r="W36" s="17"/>
      <c r="X36" s="17"/>
      <c r="Y36" s="17"/>
    </row>
    <row r="37" spans="1:25" ht="15.75" thickBot="1" x14ac:dyDescent="0.3">
      <c r="A37" s="41" t="s">
        <v>15</v>
      </c>
      <c r="B37" s="41">
        <v>179</v>
      </c>
      <c r="C37" s="41">
        <v>41</v>
      </c>
      <c r="D37" s="59">
        <v>511</v>
      </c>
      <c r="E37" s="41">
        <v>96</v>
      </c>
      <c r="F37" s="41">
        <v>250</v>
      </c>
      <c r="G37" s="41">
        <v>112</v>
      </c>
      <c r="H37" s="41"/>
      <c r="I37" s="41">
        <v>168</v>
      </c>
      <c r="J37" s="59">
        <v>370</v>
      </c>
      <c r="K37" s="41">
        <v>69</v>
      </c>
      <c r="L37" s="41">
        <v>82</v>
      </c>
      <c r="M37" s="41"/>
      <c r="N37" s="41"/>
      <c r="O37" s="41"/>
      <c r="P37" s="41">
        <v>32</v>
      </c>
      <c r="Q37" s="41"/>
      <c r="R37" s="41">
        <v>281</v>
      </c>
      <c r="S37" s="98">
        <f t="shared" si="8"/>
        <v>2191</v>
      </c>
      <c r="T37" s="50">
        <f>S37-J37-D37</f>
        <v>1310</v>
      </c>
      <c r="V37" s="17"/>
      <c r="W37" s="17"/>
      <c r="X37" s="17"/>
      <c r="Y37" s="17"/>
    </row>
    <row r="38" spans="1:25" ht="15.75" thickBot="1" x14ac:dyDescent="0.3">
      <c r="A38" s="41" t="s">
        <v>16</v>
      </c>
      <c r="B38" s="41">
        <v>162</v>
      </c>
      <c r="C38" s="41">
        <v>4</v>
      </c>
      <c r="D38" s="59">
        <v>69</v>
      </c>
      <c r="E38" s="41">
        <v>97</v>
      </c>
      <c r="F38" s="41">
        <v>130</v>
      </c>
      <c r="G38" s="41">
        <v>73</v>
      </c>
      <c r="H38" s="41"/>
      <c r="I38" s="41">
        <v>160</v>
      </c>
      <c r="J38" s="59">
        <v>237</v>
      </c>
      <c r="K38" s="41"/>
      <c r="L38" s="41">
        <v>108</v>
      </c>
      <c r="M38" s="41"/>
      <c r="N38" s="41"/>
      <c r="O38" s="41"/>
      <c r="P38" s="41">
        <v>21</v>
      </c>
      <c r="Q38" s="41"/>
      <c r="R38" s="41"/>
      <c r="S38" s="98">
        <f t="shared" si="8"/>
        <v>1061</v>
      </c>
      <c r="T38" s="50">
        <f t="shared" ref="T38:T45" si="10">S38-J38-D38</f>
        <v>755</v>
      </c>
      <c r="V38" s="17"/>
      <c r="W38" s="17"/>
      <c r="X38" s="17"/>
      <c r="Y38" s="17"/>
    </row>
    <row r="39" spans="1:25" ht="15.75" thickBot="1" x14ac:dyDescent="0.3">
      <c r="A39" s="41" t="s">
        <v>17</v>
      </c>
      <c r="B39" s="41">
        <v>231</v>
      </c>
      <c r="C39" s="41">
        <v>7</v>
      </c>
      <c r="D39" s="59">
        <v>37</v>
      </c>
      <c r="E39" s="41">
        <v>104</v>
      </c>
      <c r="F39" s="41">
        <v>119</v>
      </c>
      <c r="G39" s="41">
        <v>52</v>
      </c>
      <c r="H39" s="41"/>
      <c r="I39" s="41">
        <v>182</v>
      </c>
      <c r="J39" s="59">
        <v>89</v>
      </c>
      <c r="K39" s="41"/>
      <c r="L39" s="41">
        <v>67</v>
      </c>
      <c r="M39" s="41"/>
      <c r="N39" s="41"/>
      <c r="O39" s="41"/>
      <c r="P39" s="41"/>
      <c r="Q39" s="41"/>
      <c r="R39" s="41"/>
      <c r="S39" s="98">
        <f t="shared" si="8"/>
        <v>888</v>
      </c>
      <c r="T39" s="50">
        <f t="shared" si="10"/>
        <v>762</v>
      </c>
      <c r="U39" s="4">
        <f>T37+T38+T39</f>
        <v>2827</v>
      </c>
      <c r="V39" s="17"/>
      <c r="W39" s="17"/>
      <c r="X39" s="17"/>
      <c r="Y39" s="17"/>
    </row>
    <row r="40" spans="1:25" ht="15.75" thickBot="1" x14ac:dyDescent="0.3">
      <c r="A40" s="2" t="s">
        <v>18</v>
      </c>
      <c r="B40" s="2"/>
      <c r="C40" s="2"/>
      <c r="D40" s="59"/>
      <c r="E40" s="2"/>
      <c r="F40" s="2"/>
      <c r="G40" s="2"/>
      <c r="H40" s="2"/>
      <c r="I40" s="2"/>
      <c r="J40" s="59"/>
      <c r="K40" s="2"/>
      <c r="L40" s="2"/>
      <c r="M40" s="2"/>
      <c r="N40" s="2"/>
      <c r="O40" s="2"/>
      <c r="P40" s="2"/>
      <c r="Q40" s="2"/>
      <c r="R40" s="2"/>
      <c r="S40" s="98">
        <f t="shared" si="8"/>
        <v>0</v>
      </c>
      <c r="T40" s="66">
        <f t="shared" si="10"/>
        <v>0</v>
      </c>
    </row>
    <row r="41" spans="1:25" ht="15.75" thickBot="1" x14ac:dyDescent="0.3">
      <c r="A41" s="2" t="s">
        <v>19</v>
      </c>
      <c r="B41" s="2"/>
      <c r="C41" s="2"/>
      <c r="D41" s="59"/>
      <c r="E41" s="2"/>
      <c r="F41" s="2"/>
      <c r="G41" s="2"/>
      <c r="H41" s="2"/>
      <c r="I41" s="2"/>
      <c r="J41" s="59"/>
      <c r="K41" s="2"/>
      <c r="L41" s="2"/>
      <c r="M41" s="2"/>
      <c r="N41" s="2"/>
      <c r="O41" s="2"/>
      <c r="P41" s="2"/>
      <c r="Q41" s="2"/>
      <c r="R41" s="2"/>
      <c r="S41" s="98">
        <f t="shared" si="8"/>
        <v>0</v>
      </c>
      <c r="T41" s="66">
        <f t="shared" si="10"/>
        <v>0</v>
      </c>
    </row>
    <row r="42" spans="1:25" ht="15.75" thickBot="1" x14ac:dyDescent="0.3">
      <c r="A42" s="2" t="s">
        <v>20</v>
      </c>
      <c r="B42" s="2"/>
      <c r="C42" s="2"/>
      <c r="D42" s="59"/>
      <c r="E42" s="2"/>
      <c r="F42" s="2"/>
      <c r="G42" s="2"/>
      <c r="H42" s="2"/>
      <c r="I42" s="2"/>
      <c r="J42" s="59"/>
      <c r="K42" s="2"/>
      <c r="L42" s="2"/>
      <c r="M42" s="2"/>
      <c r="N42" s="2"/>
      <c r="O42" s="2"/>
      <c r="P42" s="2"/>
      <c r="Q42" s="2"/>
      <c r="R42" s="2"/>
      <c r="S42" s="98">
        <f t="shared" si="8"/>
        <v>0</v>
      </c>
      <c r="T42" s="66">
        <f t="shared" si="10"/>
        <v>0</v>
      </c>
    </row>
    <row r="43" spans="1:25" ht="15.75" thickBot="1" x14ac:dyDescent="0.3">
      <c r="A43" s="2" t="s">
        <v>21</v>
      </c>
      <c r="B43" s="2"/>
      <c r="C43" s="2"/>
      <c r="D43" s="59"/>
      <c r="E43" s="2"/>
      <c r="F43" s="2"/>
      <c r="G43" s="2"/>
      <c r="H43" s="2"/>
      <c r="I43" s="2"/>
      <c r="J43" s="59"/>
      <c r="K43" s="2"/>
      <c r="L43" s="2"/>
      <c r="M43" s="2"/>
      <c r="N43" s="2"/>
      <c r="O43" s="2"/>
      <c r="P43" s="2"/>
      <c r="Q43" s="2"/>
      <c r="R43" s="2"/>
      <c r="S43" s="98">
        <f t="shared" si="8"/>
        <v>0</v>
      </c>
      <c r="T43" s="66">
        <f t="shared" si="10"/>
        <v>0</v>
      </c>
    </row>
    <row r="44" spans="1:25" ht="15.75" thickBot="1" x14ac:dyDescent="0.3">
      <c r="A44" s="2" t="s">
        <v>22</v>
      </c>
      <c r="B44" s="2"/>
      <c r="C44" s="2"/>
      <c r="D44" s="59"/>
      <c r="E44" s="2"/>
      <c r="F44" s="2"/>
      <c r="G44" s="2"/>
      <c r="H44" s="2"/>
      <c r="I44" s="2"/>
      <c r="J44" s="59"/>
      <c r="K44" s="2"/>
      <c r="L44" s="2"/>
      <c r="M44" s="2"/>
      <c r="N44" s="2"/>
      <c r="O44" s="2"/>
      <c r="P44" s="2"/>
      <c r="Q44" s="2"/>
      <c r="R44" s="2"/>
      <c r="S44" s="98">
        <f t="shared" si="8"/>
        <v>0</v>
      </c>
      <c r="T44" s="66">
        <f t="shared" si="10"/>
        <v>0</v>
      </c>
    </row>
    <row r="45" spans="1:25" ht="15.75" thickBot="1" x14ac:dyDescent="0.3">
      <c r="A45" s="2" t="s">
        <v>23</v>
      </c>
      <c r="B45" s="2"/>
      <c r="C45" s="2"/>
      <c r="D45" s="59"/>
      <c r="E45" s="2"/>
      <c r="F45" s="2"/>
      <c r="G45" s="2"/>
      <c r="H45" s="2"/>
      <c r="I45" s="2"/>
      <c r="J45" s="59"/>
      <c r="K45" s="2"/>
      <c r="L45" s="2"/>
      <c r="M45" s="2"/>
      <c r="N45" s="2"/>
      <c r="O45" s="2"/>
      <c r="P45" s="2"/>
      <c r="Q45" s="2"/>
      <c r="R45" s="2"/>
      <c r="S45" s="98">
        <f t="shared" si="8"/>
        <v>0</v>
      </c>
      <c r="T45" s="66">
        <f t="shared" si="10"/>
        <v>0</v>
      </c>
    </row>
    <row r="46" spans="1:25" ht="16.5" thickBot="1" x14ac:dyDescent="0.3">
      <c r="A46" s="6" t="s">
        <v>24</v>
      </c>
      <c r="B46" s="5">
        <f>SUM(B34:B45)</f>
        <v>951</v>
      </c>
      <c r="C46" s="5">
        <f t="shared" ref="C46:R46" si="11">SUM(C34:C45)</f>
        <v>223</v>
      </c>
      <c r="D46" s="86">
        <f t="shared" si="11"/>
        <v>752</v>
      </c>
      <c r="E46" s="5">
        <f t="shared" si="11"/>
        <v>474</v>
      </c>
      <c r="F46" s="5">
        <f t="shared" si="11"/>
        <v>971</v>
      </c>
      <c r="G46" s="5">
        <f t="shared" si="11"/>
        <v>447</v>
      </c>
      <c r="H46" s="5">
        <f t="shared" si="11"/>
        <v>0</v>
      </c>
      <c r="I46" s="5">
        <f t="shared" si="11"/>
        <v>1029</v>
      </c>
      <c r="J46" s="86">
        <f t="shared" si="11"/>
        <v>1103</v>
      </c>
      <c r="K46" s="5">
        <f t="shared" si="11"/>
        <v>112</v>
      </c>
      <c r="L46" s="5">
        <f t="shared" si="11"/>
        <v>500</v>
      </c>
      <c r="M46" s="5">
        <f t="shared" si="11"/>
        <v>0</v>
      </c>
      <c r="N46" s="5">
        <f t="shared" si="11"/>
        <v>0</v>
      </c>
      <c r="O46" s="5">
        <f t="shared" si="11"/>
        <v>0</v>
      </c>
      <c r="P46" s="5">
        <f t="shared" si="11"/>
        <v>61</v>
      </c>
      <c r="Q46" s="5">
        <f t="shared" si="11"/>
        <v>0</v>
      </c>
      <c r="R46" s="5">
        <f t="shared" si="11"/>
        <v>356</v>
      </c>
      <c r="S46" s="96">
        <f>SUM(B46:R46)</f>
        <v>6979</v>
      </c>
      <c r="T46" s="15">
        <f>SUM(T34:T45)</f>
        <v>5124</v>
      </c>
      <c r="U46" s="16">
        <f>+S46/$S$80</f>
        <v>0.11546511146957852</v>
      </c>
    </row>
    <row r="47" spans="1:25" ht="15.75" thickBot="1" x14ac:dyDescent="0.3"/>
    <row r="48" spans="1:25" s="20" customFormat="1" ht="16.5" thickBot="1" x14ac:dyDescent="0.3">
      <c r="A48" s="5" t="s">
        <v>27</v>
      </c>
      <c r="B48" s="6" t="s">
        <v>1</v>
      </c>
      <c r="C48" s="6" t="s">
        <v>2</v>
      </c>
      <c r="D48" s="85" t="s">
        <v>51</v>
      </c>
      <c r="E48" s="6" t="s">
        <v>3</v>
      </c>
      <c r="F48" s="6" t="s">
        <v>4</v>
      </c>
      <c r="G48" s="6" t="s">
        <v>5</v>
      </c>
      <c r="H48" s="6" t="s">
        <v>6</v>
      </c>
      <c r="I48" s="6" t="s">
        <v>7</v>
      </c>
      <c r="J48" s="85" t="s">
        <v>50</v>
      </c>
      <c r="K48" s="6" t="s">
        <v>40</v>
      </c>
      <c r="L48" s="6" t="s">
        <v>8</v>
      </c>
      <c r="M48" s="6" t="s">
        <v>9</v>
      </c>
      <c r="N48" s="6" t="s">
        <v>10</v>
      </c>
      <c r="O48" s="6" t="s">
        <v>38</v>
      </c>
      <c r="P48" s="6" t="s">
        <v>39</v>
      </c>
      <c r="Q48" s="6" t="s">
        <v>41</v>
      </c>
      <c r="R48" s="6" t="s">
        <v>11</v>
      </c>
      <c r="S48" s="99"/>
      <c r="T48" s="49"/>
    </row>
    <row r="49" spans="1:22" ht="15.75" thickBot="1" x14ac:dyDescent="0.3">
      <c r="A49" s="57" t="s">
        <v>12</v>
      </c>
      <c r="B49" s="57">
        <v>122</v>
      </c>
      <c r="C49" s="57">
        <v>5</v>
      </c>
      <c r="D49" s="59">
        <v>27</v>
      </c>
      <c r="E49" s="57">
        <v>34</v>
      </c>
      <c r="F49" s="57">
        <v>187</v>
      </c>
      <c r="G49" s="57">
        <v>147</v>
      </c>
      <c r="H49" s="57"/>
      <c r="I49" s="57">
        <v>209</v>
      </c>
      <c r="J49" s="59">
        <v>89</v>
      </c>
      <c r="K49" s="57"/>
      <c r="L49" s="57">
        <v>16</v>
      </c>
      <c r="M49" s="57"/>
      <c r="N49" s="57"/>
      <c r="O49" s="57"/>
      <c r="P49" s="57"/>
      <c r="Q49" s="57"/>
      <c r="R49" s="57"/>
      <c r="S49" s="98">
        <f t="shared" ref="S49:S61" si="12">SUM(B49:R49)</f>
        <v>836</v>
      </c>
      <c r="T49" s="67">
        <f t="shared" ref="T49:T51" si="13">S49-J49-D49</f>
        <v>720</v>
      </c>
      <c r="U49" s="49" t="s">
        <v>45</v>
      </c>
    </row>
    <row r="50" spans="1:22" ht="15.75" thickBot="1" x14ac:dyDescent="0.3">
      <c r="A50" s="57" t="s">
        <v>13</v>
      </c>
      <c r="B50" s="57">
        <v>75</v>
      </c>
      <c r="C50" s="57">
        <v>33</v>
      </c>
      <c r="D50" s="59">
        <v>52</v>
      </c>
      <c r="E50" s="57">
        <v>66</v>
      </c>
      <c r="F50" s="57">
        <v>145</v>
      </c>
      <c r="G50" s="57">
        <v>130</v>
      </c>
      <c r="H50" s="57"/>
      <c r="I50" s="57">
        <v>223</v>
      </c>
      <c r="J50" s="87"/>
      <c r="K50" s="57"/>
      <c r="L50" s="57">
        <v>71</v>
      </c>
      <c r="M50" s="57"/>
      <c r="N50" s="57"/>
      <c r="O50" s="57"/>
      <c r="P50" s="57"/>
      <c r="Q50" s="57"/>
      <c r="R50" s="57"/>
      <c r="S50" s="98">
        <f t="shared" si="12"/>
        <v>795</v>
      </c>
      <c r="T50" s="67">
        <f t="shared" si="13"/>
        <v>743</v>
      </c>
    </row>
    <row r="51" spans="1:22" ht="15.75" thickBot="1" x14ac:dyDescent="0.3">
      <c r="A51" s="57" t="s">
        <v>14</v>
      </c>
      <c r="B51" s="57">
        <v>134</v>
      </c>
      <c r="C51" s="57">
        <v>44</v>
      </c>
      <c r="D51" s="59">
        <v>40</v>
      </c>
      <c r="E51" s="57">
        <v>92</v>
      </c>
      <c r="F51" s="57">
        <v>195</v>
      </c>
      <c r="G51" s="57">
        <v>104</v>
      </c>
      <c r="H51" s="57"/>
      <c r="I51" s="57">
        <v>256</v>
      </c>
      <c r="J51" s="59">
        <v>83</v>
      </c>
      <c r="K51" s="57">
        <v>82</v>
      </c>
      <c r="L51" s="57">
        <v>99</v>
      </c>
      <c r="M51" s="57"/>
      <c r="N51" s="57"/>
      <c r="O51" s="57"/>
      <c r="P51" s="57"/>
      <c r="Q51" s="57"/>
      <c r="R51" s="57"/>
      <c r="S51" s="98">
        <f t="shared" si="12"/>
        <v>1129</v>
      </c>
      <c r="T51" s="67">
        <f t="shared" si="13"/>
        <v>1006</v>
      </c>
      <c r="U51" s="4">
        <f>T49+T50+T51</f>
        <v>2469</v>
      </c>
      <c r="V51" s="4">
        <v>150</v>
      </c>
    </row>
    <row r="52" spans="1:22" ht="15.75" thickBot="1" x14ac:dyDescent="0.3">
      <c r="A52" s="57" t="s">
        <v>15</v>
      </c>
      <c r="B52" s="57">
        <v>141</v>
      </c>
      <c r="C52" s="57">
        <v>127</v>
      </c>
      <c r="D52" s="59">
        <v>81</v>
      </c>
      <c r="E52" s="57">
        <v>24</v>
      </c>
      <c r="F52" s="57">
        <v>175</v>
      </c>
      <c r="G52" s="57">
        <v>107</v>
      </c>
      <c r="H52" s="57"/>
      <c r="I52" s="57">
        <v>124</v>
      </c>
      <c r="J52" s="59"/>
      <c r="K52" s="57">
        <v>97</v>
      </c>
      <c r="L52" s="57">
        <v>36</v>
      </c>
      <c r="M52" s="57"/>
      <c r="N52" s="57">
        <v>134</v>
      </c>
      <c r="O52" s="57"/>
      <c r="P52" s="57"/>
      <c r="Q52" s="57"/>
      <c r="R52" s="57"/>
      <c r="S52" s="98">
        <f>SUM(B52:R52)</f>
        <v>1046</v>
      </c>
      <c r="T52" s="67">
        <f>S52-J52-D52</f>
        <v>965</v>
      </c>
    </row>
    <row r="53" spans="1:22" ht="15.75" thickBot="1" x14ac:dyDescent="0.3">
      <c r="A53" s="57" t="s">
        <v>16</v>
      </c>
      <c r="B53" s="57">
        <v>160</v>
      </c>
      <c r="C53" s="57">
        <v>92</v>
      </c>
      <c r="D53" s="59">
        <v>285</v>
      </c>
      <c r="E53" s="57">
        <v>89</v>
      </c>
      <c r="F53" s="57">
        <v>167</v>
      </c>
      <c r="G53" s="57">
        <v>110</v>
      </c>
      <c r="H53" s="57"/>
      <c r="I53" s="57">
        <v>205</v>
      </c>
      <c r="J53" s="59">
        <v>334</v>
      </c>
      <c r="K53" s="57"/>
      <c r="L53" s="57">
        <v>74</v>
      </c>
      <c r="M53" s="57"/>
      <c r="N53" s="57">
        <v>91</v>
      </c>
      <c r="O53" s="57"/>
      <c r="P53" s="57"/>
      <c r="Q53" s="57"/>
      <c r="R53" s="57"/>
      <c r="S53" s="98">
        <f t="shared" si="12"/>
        <v>1607</v>
      </c>
      <c r="T53" s="67">
        <f t="shared" ref="T53:T60" si="14">S53-J53-D53</f>
        <v>988</v>
      </c>
    </row>
    <row r="54" spans="1:22" ht="15.75" thickBot="1" x14ac:dyDescent="0.3">
      <c r="A54" s="57" t="s">
        <v>17</v>
      </c>
      <c r="B54" s="57">
        <v>191</v>
      </c>
      <c r="C54" s="57">
        <v>87</v>
      </c>
      <c r="D54" s="59">
        <v>107</v>
      </c>
      <c r="E54" s="57">
        <v>46</v>
      </c>
      <c r="F54" s="57">
        <v>245</v>
      </c>
      <c r="G54" s="57">
        <v>128</v>
      </c>
      <c r="H54" s="57"/>
      <c r="I54" s="57">
        <v>196</v>
      </c>
      <c r="J54" s="59">
        <v>23</v>
      </c>
      <c r="K54" s="57"/>
      <c r="L54" s="57">
        <v>54</v>
      </c>
      <c r="M54" s="57"/>
      <c r="N54" s="57"/>
      <c r="O54" s="57"/>
      <c r="P54" s="57"/>
      <c r="Q54" s="57"/>
      <c r="R54" s="57"/>
      <c r="S54" s="98">
        <f t="shared" si="12"/>
        <v>1077</v>
      </c>
      <c r="T54" s="67">
        <f t="shared" si="14"/>
        <v>947</v>
      </c>
      <c r="U54" s="4">
        <f>T52+T53+T54</f>
        <v>2900</v>
      </c>
    </row>
    <row r="55" spans="1:22" ht="15.75" thickBot="1" x14ac:dyDescent="0.3">
      <c r="A55" s="2" t="s">
        <v>18</v>
      </c>
      <c r="B55" s="2"/>
      <c r="C55" s="2"/>
      <c r="D55" s="59"/>
      <c r="E55" s="2"/>
      <c r="F55" s="2"/>
      <c r="G55" s="2"/>
      <c r="H55" s="2"/>
      <c r="I55" s="2"/>
      <c r="J55" s="59"/>
      <c r="K55" s="2"/>
      <c r="L55" s="2"/>
      <c r="M55" s="2"/>
      <c r="N55" s="2"/>
      <c r="O55" s="2"/>
      <c r="P55" s="2"/>
      <c r="Q55" s="2"/>
      <c r="R55" s="2"/>
      <c r="S55" s="98">
        <f t="shared" si="12"/>
        <v>0</v>
      </c>
      <c r="T55" s="49">
        <f t="shared" si="14"/>
        <v>0</v>
      </c>
    </row>
    <row r="56" spans="1:22" ht="15.75" thickBot="1" x14ac:dyDescent="0.3">
      <c r="A56" s="2" t="s">
        <v>19</v>
      </c>
      <c r="B56" s="2"/>
      <c r="C56" s="2"/>
      <c r="D56" s="59"/>
      <c r="E56" s="2"/>
      <c r="F56" s="2"/>
      <c r="G56" s="2"/>
      <c r="H56" s="2"/>
      <c r="I56" s="2"/>
      <c r="J56" s="59"/>
      <c r="K56" s="2"/>
      <c r="L56" s="2"/>
      <c r="M56" s="2"/>
      <c r="N56" s="2"/>
      <c r="O56" s="2"/>
      <c r="P56" s="2"/>
      <c r="Q56" s="2"/>
      <c r="R56" s="2"/>
      <c r="S56" s="98">
        <f t="shared" si="12"/>
        <v>0</v>
      </c>
      <c r="T56" s="49">
        <f t="shared" si="14"/>
        <v>0</v>
      </c>
    </row>
    <row r="57" spans="1:22" ht="15.75" thickBot="1" x14ac:dyDescent="0.3">
      <c r="A57" s="2" t="s">
        <v>20</v>
      </c>
      <c r="B57" s="2"/>
      <c r="C57" s="2"/>
      <c r="D57" s="59"/>
      <c r="E57" s="2"/>
      <c r="F57" s="2"/>
      <c r="G57" s="2"/>
      <c r="H57" s="2"/>
      <c r="I57" s="2"/>
      <c r="J57" s="59"/>
      <c r="K57" s="2"/>
      <c r="L57" s="2"/>
      <c r="M57" s="2"/>
      <c r="N57" s="2"/>
      <c r="O57" s="2"/>
      <c r="P57" s="2"/>
      <c r="Q57" s="2"/>
      <c r="R57" s="2"/>
      <c r="S57" s="98">
        <f t="shared" si="12"/>
        <v>0</v>
      </c>
      <c r="T57" s="49">
        <f t="shared" si="14"/>
        <v>0</v>
      </c>
    </row>
    <row r="58" spans="1:22" ht="15.75" thickBot="1" x14ac:dyDescent="0.3">
      <c r="A58" s="2" t="s">
        <v>21</v>
      </c>
      <c r="B58" s="2"/>
      <c r="C58" s="2"/>
      <c r="D58" s="59"/>
      <c r="E58" s="2"/>
      <c r="F58" s="2"/>
      <c r="G58" s="2"/>
      <c r="H58" s="2"/>
      <c r="I58" s="2"/>
      <c r="J58" s="59"/>
      <c r="K58" s="2"/>
      <c r="L58" s="2"/>
      <c r="M58" s="2"/>
      <c r="N58" s="2"/>
      <c r="O58" s="2"/>
      <c r="P58" s="2"/>
      <c r="Q58" s="2"/>
      <c r="R58" s="2"/>
      <c r="S58" s="98">
        <f t="shared" si="12"/>
        <v>0</v>
      </c>
      <c r="T58" s="49">
        <f t="shared" si="14"/>
        <v>0</v>
      </c>
    </row>
    <row r="59" spans="1:22" ht="15.75" thickBot="1" x14ac:dyDescent="0.3">
      <c r="A59" s="2" t="s">
        <v>22</v>
      </c>
      <c r="B59" s="2"/>
      <c r="C59" s="2"/>
      <c r="D59" s="59"/>
      <c r="E59" s="2"/>
      <c r="F59" s="2"/>
      <c r="G59" s="2"/>
      <c r="H59" s="2"/>
      <c r="I59" s="2"/>
      <c r="J59" s="59"/>
      <c r="K59" s="2"/>
      <c r="L59" s="2"/>
      <c r="M59" s="2"/>
      <c r="N59" s="2"/>
      <c r="O59" s="2"/>
      <c r="P59" s="2"/>
      <c r="Q59" s="2"/>
      <c r="R59" s="2"/>
      <c r="S59" s="98">
        <f t="shared" si="12"/>
        <v>0</v>
      </c>
      <c r="T59" s="49">
        <f t="shared" si="14"/>
        <v>0</v>
      </c>
    </row>
    <row r="60" spans="1:22" ht="15.75" thickBot="1" x14ac:dyDescent="0.3">
      <c r="A60" s="2" t="s">
        <v>23</v>
      </c>
      <c r="B60" s="2"/>
      <c r="C60" s="2"/>
      <c r="D60" s="59"/>
      <c r="E60" s="2"/>
      <c r="F60" s="2"/>
      <c r="G60" s="2"/>
      <c r="H60" s="2"/>
      <c r="I60" s="2"/>
      <c r="J60" s="59"/>
      <c r="K60" s="2"/>
      <c r="L60" s="2"/>
      <c r="M60" s="2"/>
      <c r="N60" s="2"/>
      <c r="O60" s="2"/>
      <c r="P60" s="2"/>
      <c r="Q60" s="2"/>
      <c r="R60" s="2"/>
      <c r="S60" s="98">
        <f t="shared" si="12"/>
        <v>0</v>
      </c>
      <c r="T60" s="49">
        <f t="shared" si="14"/>
        <v>0</v>
      </c>
    </row>
    <row r="61" spans="1:22" ht="16.5" thickBot="1" x14ac:dyDescent="0.3">
      <c r="A61" s="6" t="s">
        <v>24</v>
      </c>
      <c r="B61" s="5">
        <f>SUM(B49:B60)</f>
        <v>823</v>
      </c>
      <c r="C61" s="5">
        <f t="shared" ref="C61:R61" si="15">SUM(C49:C60)</f>
        <v>388</v>
      </c>
      <c r="D61" s="86">
        <f t="shared" si="15"/>
        <v>592</v>
      </c>
      <c r="E61" s="5">
        <f t="shared" si="15"/>
        <v>351</v>
      </c>
      <c r="F61" s="5">
        <f t="shared" si="15"/>
        <v>1114</v>
      </c>
      <c r="G61" s="5">
        <f t="shared" si="15"/>
        <v>726</v>
      </c>
      <c r="H61" s="5">
        <f t="shared" si="15"/>
        <v>0</v>
      </c>
      <c r="I61" s="5">
        <f t="shared" si="15"/>
        <v>1213</v>
      </c>
      <c r="J61" s="86">
        <f t="shared" si="15"/>
        <v>529</v>
      </c>
      <c r="K61" s="5">
        <f t="shared" si="15"/>
        <v>179</v>
      </c>
      <c r="L61" s="5">
        <f t="shared" si="15"/>
        <v>350</v>
      </c>
      <c r="M61" s="5">
        <f t="shared" si="15"/>
        <v>0</v>
      </c>
      <c r="N61" s="5">
        <f t="shared" si="15"/>
        <v>225</v>
      </c>
      <c r="O61" s="5">
        <f t="shared" si="15"/>
        <v>0</v>
      </c>
      <c r="P61" s="5">
        <f t="shared" si="15"/>
        <v>0</v>
      </c>
      <c r="Q61" s="5">
        <f t="shared" si="15"/>
        <v>0</v>
      </c>
      <c r="R61" s="5">
        <f t="shared" si="15"/>
        <v>0</v>
      </c>
      <c r="S61" s="96">
        <f t="shared" si="12"/>
        <v>6490</v>
      </c>
      <c r="T61" s="15">
        <f>SUM(T49:T60)</f>
        <v>5369</v>
      </c>
      <c r="U61" s="16">
        <f>+S61/$S$80</f>
        <v>0.10737477768126732</v>
      </c>
    </row>
    <row r="62" spans="1:22" ht="16.5" thickBot="1" x14ac:dyDescent="0.3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100"/>
      <c r="T62" s="23"/>
      <c r="U62" s="24"/>
    </row>
    <row r="63" spans="1:22" s="20" customFormat="1" ht="15.75" thickBot="1" x14ac:dyDescent="0.3">
      <c r="A63" s="68" t="s">
        <v>28</v>
      </c>
      <c r="B63" s="6" t="s">
        <v>1</v>
      </c>
      <c r="C63" s="6" t="s">
        <v>2</v>
      </c>
      <c r="D63" s="85" t="s">
        <v>51</v>
      </c>
      <c r="E63" s="6" t="s">
        <v>3</v>
      </c>
      <c r="F63" s="6" t="s">
        <v>4</v>
      </c>
      <c r="G63" s="6" t="s">
        <v>5</v>
      </c>
      <c r="H63" s="6" t="s">
        <v>6</v>
      </c>
      <c r="I63" s="6" t="s">
        <v>7</v>
      </c>
      <c r="J63" s="85" t="s">
        <v>50</v>
      </c>
      <c r="K63" s="6" t="s">
        <v>40</v>
      </c>
      <c r="L63" s="6" t="s">
        <v>8</v>
      </c>
      <c r="M63" s="26" t="s">
        <v>9</v>
      </c>
      <c r="N63" s="6" t="s">
        <v>10</v>
      </c>
      <c r="O63" s="6" t="s">
        <v>38</v>
      </c>
      <c r="P63" s="6" t="s">
        <v>39</v>
      </c>
      <c r="Q63" s="6" t="s">
        <v>41</v>
      </c>
      <c r="R63" s="27" t="s">
        <v>11</v>
      </c>
      <c r="S63" s="101"/>
      <c r="T63" s="49"/>
    </row>
    <row r="64" spans="1:22" ht="15.75" thickBot="1" x14ac:dyDescent="0.3">
      <c r="A64" s="69" t="s">
        <v>12</v>
      </c>
      <c r="B64" s="69">
        <v>73</v>
      </c>
      <c r="C64" s="69">
        <v>13</v>
      </c>
      <c r="D64" s="59"/>
      <c r="E64" s="69">
        <v>54</v>
      </c>
      <c r="F64" s="69">
        <v>21</v>
      </c>
      <c r="G64" s="69">
        <v>17</v>
      </c>
      <c r="H64" s="69"/>
      <c r="I64" s="69">
        <v>153</v>
      </c>
      <c r="J64" s="59"/>
      <c r="K64" s="69"/>
      <c r="L64" s="69"/>
      <c r="M64" s="69"/>
      <c r="N64" s="69"/>
      <c r="O64" s="69"/>
      <c r="P64" s="69"/>
      <c r="Q64" s="69"/>
      <c r="R64" s="69"/>
      <c r="S64" s="98">
        <f t="shared" ref="S64:S76" si="16">SUM(B64:R64)</f>
        <v>331</v>
      </c>
      <c r="T64" s="72">
        <f t="shared" ref="T64:T67" si="17">S64-J64-D64</f>
        <v>331</v>
      </c>
    </row>
    <row r="65" spans="1:21" ht="15.75" thickBot="1" x14ac:dyDescent="0.3">
      <c r="A65" s="59" t="s">
        <v>13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94"/>
      <c r="N65" s="59"/>
      <c r="O65" s="59"/>
      <c r="P65" s="59"/>
      <c r="Q65" s="59"/>
      <c r="R65" s="59"/>
      <c r="S65" s="102">
        <f t="shared" si="16"/>
        <v>0</v>
      </c>
      <c r="T65" s="66">
        <f t="shared" si="17"/>
        <v>0</v>
      </c>
    </row>
    <row r="66" spans="1:21" ht="15.75" thickBot="1" x14ac:dyDescent="0.3">
      <c r="A66" s="69" t="s">
        <v>14</v>
      </c>
      <c r="B66" s="69">
        <v>87</v>
      </c>
      <c r="C66" s="69"/>
      <c r="D66" s="59"/>
      <c r="E66" s="69">
        <v>98</v>
      </c>
      <c r="F66" s="69">
        <v>57</v>
      </c>
      <c r="G66" s="69">
        <v>68</v>
      </c>
      <c r="H66" s="69"/>
      <c r="I66" s="69">
        <v>122</v>
      </c>
      <c r="J66" s="59"/>
      <c r="K66" s="69"/>
      <c r="L66" s="69"/>
      <c r="M66" s="69"/>
      <c r="N66" s="69"/>
      <c r="O66" s="69"/>
      <c r="P66" s="69"/>
      <c r="Q66" s="69"/>
      <c r="R66" s="69"/>
      <c r="S66" s="98">
        <f t="shared" si="16"/>
        <v>432</v>
      </c>
      <c r="T66" s="72">
        <f t="shared" si="17"/>
        <v>432</v>
      </c>
      <c r="U66" s="4">
        <f>T64+T65+T66</f>
        <v>763</v>
      </c>
    </row>
    <row r="67" spans="1:21" ht="15.75" thickBot="1" x14ac:dyDescent="0.3">
      <c r="A67" s="59" t="s">
        <v>15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98">
        <f t="shared" si="16"/>
        <v>0</v>
      </c>
      <c r="T67" s="66">
        <f t="shared" si="17"/>
        <v>0</v>
      </c>
      <c r="U67" s="49" t="s">
        <v>45</v>
      </c>
    </row>
    <row r="68" spans="1:21" ht="16.5" thickBot="1" x14ac:dyDescent="0.3">
      <c r="A68" s="69" t="s">
        <v>16</v>
      </c>
      <c r="B68" s="69">
        <v>164</v>
      </c>
      <c r="C68" s="69">
        <v>14</v>
      </c>
      <c r="D68" s="59"/>
      <c r="E68" s="69">
        <v>52</v>
      </c>
      <c r="F68" s="69">
        <v>414</v>
      </c>
      <c r="G68" s="69">
        <v>57</v>
      </c>
      <c r="H68" s="69"/>
      <c r="I68" s="69">
        <v>8</v>
      </c>
      <c r="J68" s="59">
        <v>10</v>
      </c>
      <c r="K68" s="69">
        <v>89</v>
      </c>
      <c r="L68" s="69">
        <v>109</v>
      </c>
      <c r="M68" s="69"/>
      <c r="N68" s="69">
        <v>74</v>
      </c>
      <c r="O68" s="69"/>
      <c r="P68" s="69"/>
      <c r="Q68" s="90">
        <v>79</v>
      </c>
      <c r="R68" s="69">
        <v>59</v>
      </c>
      <c r="S68" s="98">
        <f t="shared" si="16"/>
        <v>1129</v>
      </c>
      <c r="T68" s="72">
        <f>S68-J68-D68</f>
        <v>1119</v>
      </c>
    </row>
    <row r="69" spans="1:21" ht="15.75" thickBot="1" x14ac:dyDescent="0.3">
      <c r="A69" s="69" t="s">
        <v>17</v>
      </c>
      <c r="B69" s="69">
        <v>12</v>
      </c>
      <c r="C69" s="69"/>
      <c r="D69" s="59"/>
      <c r="E69" s="69">
        <v>38</v>
      </c>
      <c r="F69" s="69">
        <v>201</v>
      </c>
      <c r="G69" s="69"/>
      <c r="H69" s="69"/>
      <c r="I69" s="69"/>
      <c r="J69" s="59"/>
      <c r="K69" s="69"/>
      <c r="L69" s="69">
        <v>62</v>
      </c>
      <c r="M69" s="69"/>
      <c r="N69" s="69"/>
      <c r="O69" s="69"/>
      <c r="P69" s="69"/>
      <c r="Q69" s="69"/>
      <c r="R69" s="69"/>
      <c r="S69" s="98">
        <f t="shared" si="16"/>
        <v>313</v>
      </c>
      <c r="T69" s="72">
        <f t="shared" ref="T69:T75" si="18">S69-J69-D69</f>
        <v>313</v>
      </c>
      <c r="U69" s="4">
        <f>T67+T68+T69</f>
        <v>1432</v>
      </c>
    </row>
    <row r="70" spans="1:21" ht="15.75" thickBot="1" x14ac:dyDescent="0.3">
      <c r="A70" s="2" t="s">
        <v>18</v>
      </c>
      <c r="B70" s="2"/>
      <c r="C70" s="2"/>
      <c r="D70" s="59"/>
      <c r="E70" s="2"/>
      <c r="F70" s="2"/>
      <c r="G70" s="2"/>
      <c r="H70" s="2"/>
      <c r="I70" s="2"/>
      <c r="J70" s="59"/>
      <c r="K70" s="2"/>
      <c r="L70" s="2"/>
      <c r="M70" s="2"/>
      <c r="N70" s="2"/>
      <c r="O70" s="2"/>
      <c r="P70" s="2"/>
      <c r="Q70" s="2"/>
      <c r="R70" s="2"/>
      <c r="S70" s="98">
        <f t="shared" si="16"/>
        <v>0</v>
      </c>
      <c r="T70" s="49">
        <f t="shared" si="18"/>
        <v>0</v>
      </c>
    </row>
    <row r="71" spans="1:21" ht="15.75" thickBot="1" x14ac:dyDescent="0.3">
      <c r="A71" s="69" t="s">
        <v>19</v>
      </c>
      <c r="B71" s="69">
        <v>166</v>
      </c>
      <c r="C71" s="69">
        <v>102</v>
      </c>
      <c r="D71" s="69"/>
      <c r="E71" s="69">
        <v>29</v>
      </c>
      <c r="F71" s="69">
        <v>111</v>
      </c>
      <c r="G71" s="69">
        <v>18</v>
      </c>
      <c r="H71" s="69"/>
      <c r="I71" s="69">
        <v>45</v>
      </c>
      <c r="J71" s="69"/>
      <c r="K71" s="69"/>
      <c r="L71" s="69">
        <v>43</v>
      </c>
      <c r="M71" s="69"/>
      <c r="N71" s="69"/>
      <c r="O71" s="69"/>
      <c r="P71" s="69"/>
      <c r="Q71" s="69"/>
      <c r="R71" s="69"/>
      <c r="S71" s="71">
        <f t="shared" si="16"/>
        <v>514</v>
      </c>
      <c r="T71" s="72">
        <f t="shared" si="18"/>
        <v>514</v>
      </c>
    </row>
    <row r="72" spans="1:21" ht="15.75" thickBot="1" x14ac:dyDescent="0.3">
      <c r="A72" s="2" t="s">
        <v>20</v>
      </c>
      <c r="B72" s="2"/>
      <c r="C72" s="2"/>
      <c r="D72" s="59"/>
      <c r="E72" s="2"/>
      <c r="F72" s="2"/>
      <c r="G72" s="2"/>
      <c r="H72" s="2"/>
      <c r="I72" s="2"/>
      <c r="J72" s="59"/>
      <c r="K72" s="2"/>
      <c r="L72" s="2"/>
      <c r="M72" s="2"/>
      <c r="N72" s="2"/>
      <c r="O72" s="2"/>
      <c r="P72" s="2"/>
      <c r="Q72" s="2"/>
      <c r="R72" s="2"/>
      <c r="S72" s="98">
        <f t="shared" si="16"/>
        <v>0</v>
      </c>
      <c r="T72" s="49">
        <f t="shared" si="18"/>
        <v>0</v>
      </c>
    </row>
    <row r="73" spans="1:21" ht="15.75" thickBot="1" x14ac:dyDescent="0.3">
      <c r="A73" s="2" t="s">
        <v>21</v>
      </c>
      <c r="B73" s="2"/>
      <c r="C73" s="2"/>
      <c r="D73" s="59"/>
      <c r="E73" s="2"/>
      <c r="F73" s="2"/>
      <c r="G73" s="2"/>
      <c r="H73" s="2"/>
      <c r="I73" s="2"/>
      <c r="J73" s="59"/>
      <c r="K73" s="2"/>
      <c r="L73" s="2"/>
      <c r="M73" s="2"/>
      <c r="N73" s="2"/>
      <c r="O73" s="2"/>
      <c r="P73" s="2"/>
      <c r="Q73" s="2"/>
      <c r="R73" s="2"/>
      <c r="S73" s="98">
        <f t="shared" si="16"/>
        <v>0</v>
      </c>
      <c r="T73" s="49">
        <f t="shared" si="18"/>
        <v>0</v>
      </c>
    </row>
    <row r="74" spans="1:21" ht="15.75" thickBot="1" x14ac:dyDescent="0.3">
      <c r="A74" s="2" t="s">
        <v>22</v>
      </c>
      <c r="B74" s="2"/>
      <c r="C74" s="2"/>
      <c r="D74" s="59"/>
      <c r="E74" s="2"/>
      <c r="F74" s="2"/>
      <c r="G74" s="2"/>
      <c r="H74" s="2"/>
      <c r="I74" s="2"/>
      <c r="J74" s="59"/>
      <c r="K74" s="2"/>
      <c r="L74" s="2"/>
      <c r="M74" s="2"/>
      <c r="N74" s="2"/>
      <c r="O74" s="2"/>
      <c r="P74" s="2"/>
      <c r="Q74" s="2"/>
      <c r="R74" s="2"/>
      <c r="S74" s="98">
        <f t="shared" si="16"/>
        <v>0</v>
      </c>
      <c r="T74" s="49">
        <f t="shared" si="18"/>
        <v>0</v>
      </c>
    </row>
    <row r="75" spans="1:21" ht="15.75" thickBot="1" x14ac:dyDescent="0.3">
      <c r="A75" s="2" t="s">
        <v>23</v>
      </c>
      <c r="B75" s="2"/>
      <c r="C75" s="2"/>
      <c r="D75" s="59"/>
      <c r="E75" s="2"/>
      <c r="F75" s="2"/>
      <c r="G75" s="2"/>
      <c r="H75" s="2"/>
      <c r="I75" s="2"/>
      <c r="J75" s="59"/>
      <c r="K75" s="2"/>
      <c r="L75" s="2"/>
      <c r="M75" s="2"/>
      <c r="N75" s="2"/>
      <c r="O75" s="2"/>
      <c r="P75" s="2"/>
      <c r="Q75" s="2"/>
      <c r="R75" s="2"/>
      <c r="S75" s="98">
        <f t="shared" si="16"/>
        <v>0</v>
      </c>
      <c r="T75" s="49">
        <f t="shared" si="18"/>
        <v>0</v>
      </c>
    </row>
    <row r="76" spans="1:21" ht="16.5" thickBot="1" x14ac:dyDescent="0.3">
      <c r="A76" s="6" t="s">
        <v>24</v>
      </c>
      <c r="B76" s="5">
        <f>SUM(B64:B75)</f>
        <v>502</v>
      </c>
      <c r="C76" s="5">
        <f t="shared" ref="C76:R76" si="19">SUM(C64:C75)</f>
        <v>129</v>
      </c>
      <c r="D76" s="86">
        <f t="shared" si="19"/>
        <v>0</v>
      </c>
      <c r="E76" s="5">
        <f t="shared" si="19"/>
        <v>271</v>
      </c>
      <c r="F76" s="5">
        <f t="shared" si="19"/>
        <v>804</v>
      </c>
      <c r="G76" s="5">
        <f t="shared" si="19"/>
        <v>160</v>
      </c>
      <c r="H76" s="5">
        <f t="shared" si="19"/>
        <v>0</v>
      </c>
      <c r="I76" s="5">
        <f t="shared" si="19"/>
        <v>328</v>
      </c>
      <c r="J76" s="86">
        <f t="shared" si="19"/>
        <v>10</v>
      </c>
      <c r="K76" s="5">
        <f t="shared" si="19"/>
        <v>89</v>
      </c>
      <c r="L76" s="5">
        <f t="shared" si="19"/>
        <v>214</v>
      </c>
      <c r="M76" s="5">
        <f t="shared" si="19"/>
        <v>0</v>
      </c>
      <c r="N76" s="5">
        <f t="shared" si="19"/>
        <v>74</v>
      </c>
      <c r="O76" s="5">
        <f t="shared" si="19"/>
        <v>0</v>
      </c>
      <c r="P76" s="5">
        <f t="shared" si="19"/>
        <v>0</v>
      </c>
      <c r="Q76" s="5">
        <f t="shared" si="19"/>
        <v>79</v>
      </c>
      <c r="R76" s="5">
        <f t="shared" si="19"/>
        <v>59</v>
      </c>
      <c r="S76" s="96">
        <f t="shared" si="16"/>
        <v>2719</v>
      </c>
      <c r="T76" s="48">
        <f>SUM(T64:T75)</f>
        <v>2709</v>
      </c>
      <c r="U76" s="16">
        <f>+S76/$S$80</f>
        <v>4.4984903006990117E-2</v>
      </c>
    </row>
    <row r="77" spans="1:21" ht="15.75" x14ac:dyDescent="0.25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100"/>
      <c r="T77" s="23"/>
      <c r="U77" s="24"/>
    </row>
    <row r="78" spans="1:21" ht="16.5" thickBot="1" x14ac:dyDescent="0.3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103"/>
      <c r="T78" s="51"/>
      <c r="U78" s="33"/>
    </row>
    <row r="79" spans="1:21" s="20" customFormat="1" ht="15.75" thickBot="1" x14ac:dyDescent="0.3">
      <c r="A79" s="25"/>
      <c r="B79" s="6" t="s">
        <v>1</v>
      </c>
      <c r="C79" s="6" t="s">
        <v>2</v>
      </c>
      <c r="D79" s="85" t="s">
        <v>49</v>
      </c>
      <c r="E79" s="6" t="s">
        <v>3</v>
      </c>
      <c r="F79" s="6" t="s">
        <v>4</v>
      </c>
      <c r="G79" s="6" t="s">
        <v>5</v>
      </c>
      <c r="H79" s="6" t="s">
        <v>6</v>
      </c>
      <c r="I79" s="6" t="s">
        <v>7</v>
      </c>
      <c r="J79" s="85" t="s">
        <v>50</v>
      </c>
      <c r="K79" s="6" t="s">
        <v>40</v>
      </c>
      <c r="L79" s="6" t="s">
        <v>8</v>
      </c>
      <c r="M79" s="26" t="s">
        <v>9</v>
      </c>
      <c r="N79" s="6" t="s">
        <v>10</v>
      </c>
      <c r="O79" s="6" t="s">
        <v>38</v>
      </c>
      <c r="P79" s="6" t="s">
        <v>39</v>
      </c>
      <c r="Q79" s="6" t="s">
        <v>41</v>
      </c>
      <c r="R79" s="27" t="s">
        <v>11</v>
      </c>
      <c r="S79" s="101"/>
      <c r="T79" s="49"/>
    </row>
    <row r="80" spans="1:21" ht="15.75" x14ac:dyDescent="0.25">
      <c r="A80" s="34" t="s">
        <v>29</v>
      </c>
      <c r="B80" s="34">
        <f>+B61+B46+B31+B16+B76</f>
        <v>8306.5</v>
      </c>
      <c r="C80" s="34">
        <f t="shared" ref="C80:R80" si="20">+C61+C46+C31+C16+C76</f>
        <v>3854</v>
      </c>
      <c r="D80" s="92">
        <f t="shared" si="20"/>
        <v>5926</v>
      </c>
      <c r="E80" s="34">
        <f t="shared" si="20"/>
        <v>4947</v>
      </c>
      <c r="F80" s="34">
        <f t="shared" si="20"/>
        <v>8316</v>
      </c>
      <c r="G80" s="34">
        <f t="shared" si="20"/>
        <v>4419</v>
      </c>
      <c r="H80" s="34">
        <f t="shared" si="20"/>
        <v>406</v>
      </c>
      <c r="I80" s="34">
        <f t="shared" si="20"/>
        <v>6998</v>
      </c>
      <c r="J80" s="92">
        <f t="shared" si="20"/>
        <v>6249</v>
      </c>
      <c r="K80" s="34">
        <f t="shared" si="20"/>
        <v>1414</v>
      </c>
      <c r="L80" s="34">
        <f t="shared" si="20"/>
        <v>3217</v>
      </c>
      <c r="M80" s="34">
        <f t="shared" si="20"/>
        <v>1201</v>
      </c>
      <c r="N80" s="34">
        <f t="shared" si="20"/>
        <v>2121</v>
      </c>
      <c r="O80" s="34">
        <f t="shared" si="20"/>
        <v>438</v>
      </c>
      <c r="P80" s="34">
        <f t="shared" si="20"/>
        <v>680</v>
      </c>
      <c r="Q80" s="34">
        <f t="shared" si="20"/>
        <v>345</v>
      </c>
      <c r="R80" s="34">
        <f t="shared" si="20"/>
        <v>1605</v>
      </c>
      <c r="S80" s="104">
        <f>SUM(B80:R80)</f>
        <v>60442.5</v>
      </c>
      <c r="T80" s="52"/>
      <c r="U80" s="33">
        <f>+S80/$S$80</f>
        <v>1</v>
      </c>
    </row>
    <row r="81" spans="1:20" x14ac:dyDescent="0.25">
      <c r="A81" s="34"/>
      <c r="B81" s="34"/>
      <c r="C81" s="34"/>
      <c r="D81" s="92"/>
      <c r="E81" s="34"/>
      <c r="F81" s="34"/>
      <c r="G81" s="34"/>
      <c r="H81" s="34"/>
      <c r="I81" s="34"/>
      <c r="J81" s="92"/>
      <c r="K81" s="34"/>
      <c r="L81" s="34"/>
      <c r="M81" s="34"/>
      <c r="N81" s="34"/>
      <c r="O81" s="34"/>
      <c r="P81" s="34"/>
      <c r="Q81" s="34"/>
      <c r="R81" s="34"/>
      <c r="S81" s="104"/>
      <c r="T81" s="53"/>
    </row>
    <row r="82" spans="1:20" x14ac:dyDescent="0.25">
      <c r="A82" s="34" t="s">
        <v>30</v>
      </c>
      <c r="B82" s="35">
        <f t="shared" ref="B82:S82" si="21">+B16/B80</f>
        <v>0.25793053632697283</v>
      </c>
      <c r="C82" s="35">
        <f t="shared" si="21"/>
        <v>0.5267254800207577</v>
      </c>
      <c r="D82" s="93">
        <f t="shared" si="21"/>
        <v>0.50877489031387113</v>
      </c>
      <c r="E82" s="35">
        <f t="shared" si="21"/>
        <v>0.40731756620173842</v>
      </c>
      <c r="F82" s="35">
        <f t="shared" si="21"/>
        <v>0.35052910052910052</v>
      </c>
      <c r="G82" s="35">
        <f t="shared" si="21"/>
        <v>0.41095270423172664</v>
      </c>
      <c r="H82" s="35">
        <f t="shared" si="21"/>
        <v>1</v>
      </c>
      <c r="I82" s="35">
        <f t="shared" si="21"/>
        <v>0.39811374678479566</v>
      </c>
      <c r="J82" s="93">
        <f t="shared" si="21"/>
        <v>0.60409665546487434</v>
      </c>
      <c r="K82" s="35">
        <f t="shared" si="21"/>
        <v>0.67963224893917962</v>
      </c>
      <c r="L82" s="35">
        <f t="shared" si="21"/>
        <v>0.27820951196767174</v>
      </c>
      <c r="M82" s="35">
        <f t="shared" si="21"/>
        <v>0.89258950874271437</v>
      </c>
      <c r="N82" s="35">
        <f t="shared" si="21"/>
        <v>0.68741159830268739</v>
      </c>
      <c r="O82" s="35">
        <f t="shared" si="21"/>
        <v>1</v>
      </c>
      <c r="P82" s="35">
        <f t="shared" si="21"/>
        <v>0.69264705882352939</v>
      </c>
      <c r="Q82" s="35">
        <f t="shared" si="21"/>
        <v>0.77101449275362322</v>
      </c>
      <c r="R82" s="35">
        <f t="shared" si="21"/>
        <v>0.66292834890965735</v>
      </c>
      <c r="S82" s="105">
        <f t="shared" si="21"/>
        <v>0.45539976010257682</v>
      </c>
      <c r="T82" s="54"/>
    </row>
    <row r="83" spans="1:20" x14ac:dyDescent="0.25">
      <c r="A83" s="34" t="s">
        <v>31</v>
      </c>
      <c r="B83" s="35">
        <f t="shared" ref="B83:S83" si="22">+B31/B80</f>
        <v>0.46806717630771083</v>
      </c>
      <c r="C83" s="35">
        <f t="shared" si="22"/>
        <v>0.28126621691748832</v>
      </c>
      <c r="D83" s="93">
        <f t="shared" si="22"/>
        <v>0.26442794465069186</v>
      </c>
      <c r="E83" s="35">
        <f t="shared" si="22"/>
        <v>0.37113402061855671</v>
      </c>
      <c r="F83" s="35">
        <f t="shared" si="22"/>
        <v>0.30206830206830204</v>
      </c>
      <c r="G83" s="35">
        <f t="shared" si="22"/>
        <v>0.28739533831183528</v>
      </c>
      <c r="H83" s="35">
        <f t="shared" si="22"/>
        <v>0</v>
      </c>
      <c r="I83" s="35">
        <f t="shared" si="22"/>
        <v>0.2346384681337525</v>
      </c>
      <c r="J83" s="93">
        <f t="shared" si="22"/>
        <v>0.13314130260841733</v>
      </c>
      <c r="K83" s="35">
        <f t="shared" si="22"/>
        <v>5.1626591230551626E-2</v>
      </c>
      <c r="L83" s="35">
        <f t="shared" si="22"/>
        <v>0.3910475598383587</v>
      </c>
      <c r="M83" s="35">
        <f t="shared" si="22"/>
        <v>0.10741049125728559</v>
      </c>
      <c r="N83" s="35">
        <f t="shared" si="22"/>
        <v>0.17161716171617161</v>
      </c>
      <c r="O83" s="35">
        <f t="shared" si="22"/>
        <v>0</v>
      </c>
      <c r="P83" s="35">
        <f t="shared" si="22"/>
        <v>0.21764705882352942</v>
      </c>
      <c r="Q83" s="35">
        <f t="shared" si="22"/>
        <v>0</v>
      </c>
      <c r="R83" s="35">
        <f t="shared" si="22"/>
        <v>7.8504672897196259E-2</v>
      </c>
      <c r="S83" s="105">
        <f t="shared" si="22"/>
        <v>0.27677544773958723</v>
      </c>
      <c r="T83" s="54"/>
    </row>
    <row r="84" spans="1:20" x14ac:dyDescent="0.25">
      <c r="A84" s="34" t="s">
        <v>32</v>
      </c>
      <c r="B84" s="35">
        <f t="shared" ref="B84:S84" si="23">+B46/B80</f>
        <v>0.11448865346415457</v>
      </c>
      <c r="C84" s="35">
        <f t="shared" si="23"/>
        <v>5.7861961598339388E-2</v>
      </c>
      <c r="D84" s="93">
        <f t="shared" si="23"/>
        <v>0.12689841376982788</v>
      </c>
      <c r="E84" s="35">
        <f t="shared" si="23"/>
        <v>9.5815645845967259E-2</v>
      </c>
      <c r="F84" s="35">
        <f t="shared" si="23"/>
        <v>0.11676286676286676</v>
      </c>
      <c r="G84" s="35">
        <f t="shared" si="23"/>
        <v>0.1011541072640869</v>
      </c>
      <c r="H84" s="35">
        <f t="shared" si="23"/>
        <v>0</v>
      </c>
      <c r="I84" s="35">
        <f t="shared" si="23"/>
        <v>0.14704201200342956</v>
      </c>
      <c r="J84" s="93">
        <f t="shared" si="23"/>
        <v>0.17650824131861098</v>
      </c>
      <c r="K84" s="35">
        <f t="shared" si="23"/>
        <v>7.9207920792079209E-2</v>
      </c>
      <c r="L84" s="35">
        <f t="shared" si="23"/>
        <v>0.1554243083618278</v>
      </c>
      <c r="M84" s="35">
        <f t="shared" si="23"/>
        <v>0</v>
      </c>
      <c r="N84" s="35">
        <f t="shared" si="23"/>
        <v>0</v>
      </c>
      <c r="O84" s="35">
        <f t="shared" si="23"/>
        <v>0</v>
      </c>
      <c r="P84" s="35">
        <f t="shared" si="23"/>
        <v>8.9705882352941177E-2</v>
      </c>
      <c r="Q84" s="35">
        <f t="shared" si="23"/>
        <v>0</v>
      </c>
      <c r="R84" s="35">
        <f t="shared" si="23"/>
        <v>0.22180685358255453</v>
      </c>
      <c r="S84" s="105">
        <f t="shared" si="23"/>
        <v>0.11546511146957852</v>
      </c>
      <c r="T84" s="54"/>
    </row>
    <row r="85" spans="1:20" x14ac:dyDescent="0.25">
      <c r="A85" s="34" t="s">
        <v>33</v>
      </c>
      <c r="B85" s="35">
        <f t="shared" ref="B85:S85" si="24">+B61/B80</f>
        <v>9.9079034491061216E-2</v>
      </c>
      <c r="C85" s="35">
        <f t="shared" si="24"/>
        <v>0.10067462376751427</v>
      </c>
      <c r="D85" s="93">
        <f t="shared" si="24"/>
        <v>9.9898751265609181E-2</v>
      </c>
      <c r="E85" s="35">
        <f t="shared" si="24"/>
        <v>7.0952092177077014E-2</v>
      </c>
      <c r="F85" s="35">
        <f t="shared" si="24"/>
        <v>0.13395863395863397</v>
      </c>
      <c r="G85" s="35">
        <f t="shared" si="24"/>
        <v>0.16429056347589951</v>
      </c>
      <c r="H85" s="35">
        <f t="shared" si="24"/>
        <v>0</v>
      </c>
      <c r="I85" s="35">
        <f t="shared" si="24"/>
        <v>0.17333523863961131</v>
      </c>
      <c r="J85" s="93">
        <f t="shared" si="24"/>
        <v>8.4653544567130742E-2</v>
      </c>
      <c r="K85" s="35">
        <f t="shared" si="24"/>
        <v>0.1265912305516266</v>
      </c>
      <c r="L85" s="35">
        <f t="shared" si="24"/>
        <v>0.10879701585327946</v>
      </c>
      <c r="M85" s="35">
        <f t="shared" si="24"/>
        <v>0</v>
      </c>
      <c r="N85" s="35">
        <f t="shared" si="24"/>
        <v>0.10608203677510608</v>
      </c>
      <c r="O85" s="35">
        <f t="shared" si="24"/>
        <v>0</v>
      </c>
      <c r="P85" s="35">
        <f t="shared" si="24"/>
        <v>0</v>
      </c>
      <c r="Q85" s="35">
        <f t="shared" si="24"/>
        <v>0</v>
      </c>
      <c r="R85" s="35">
        <f t="shared" si="24"/>
        <v>0</v>
      </c>
      <c r="S85" s="105">
        <f t="shared" si="24"/>
        <v>0.10737477768126732</v>
      </c>
      <c r="T85" s="54"/>
    </row>
    <row r="88" spans="1:20" x14ac:dyDescent="0.25">
      <c r="P88" s="36"/>
      <c r="Q88" s="36"/>
      <c r="R88" s="36"/>
      <c r="S88" s="36"/>
    </row>
    <row r="89" spans="1:20" ht="15.75" x14ac:dyDescent="0.25">
      <c r="E89" s="4" t="s">
        <v>42</v>
      </c>
      <c r="G89" s="4">
        <v>5829</v>
      </c>
      <c r="P89" s="108" t="s">
        <v>34</v>
      </c>
      <c r="Q89" s="109"/>
      <c r="R89" s="37">
        <f>S80</f>
        <v>60442.5</v>
      </c>
      <c r="S89" s="17"/>
    </row>
    <row r="90" spans="1:20" x14ac:dyDescent="0.25">
      <c r="E90" s="4" t="s">
        <v>52</v>
      </c>
      <c r="G90" s="4">
        <v>6326</v>
      </c>
      <c r="P90" s="4"/>
      <c r="S90" s="17"/>
    </row>
    <row r="91" spans="1:20" ht="15.75" x14ac:dyDescent="0.25">
      <c r="P91" s="108" t="s">
        <v>36</v>
      </c>
      <c r="Q91" s="109"/>
      <c r="R91" s="37">
        <f>R89-G89-G90-G93-G94</f>
        <v>36112.5</v>
      </c>
      <c r="S91" s="82">
        <f>R91/R89</f>
        <v>0.59746866856930136</v>
      </c>
    </row>
    <row r="92" spans="1:20" x14ac:dyDescent="0.25">
      <c r="P92" s="4"/>
      <c r="S92" s="4"/>
    </row>
    <row r="93" spans="1:20" ht="15.75" x14ac:dyDescent="0.25">
      <c r="E93" s="4" t="s">
        <v>46</v>
      </c>
      <c r="G93" s="4">
        <f>J80</f>
        <v>6249</v>
      </c>
      <c r="P93" s="108" t="s">
        <v>53</v>
      </c>
      <c r="Q93" s="109"/>
      <c r="R93" s="37">
        <f>G93+G94</f>
        <v>12175</v>
      </c>
      <c r="S93" s="91">
        <f>R93/R89</f>
        <v>0.20143111221408777</v>
      </c>
    </row>
    <row r="94" spans="1:20" x14ac:dyDescent="0.25">
      <c r="E94" s="4" t="s">
        <v>47</v>
      </c>
      <c r="G94" s="4">
        <f>D80</f>
        <v>5926</v>
      </c>
      <c r="P94" s="4"/>
      <c r="S94" s="4"/>
    </row>
    <row r="95" spans="1:20" x14ac:dyDescent="0.25">
      <c r="P95" s="4"/>
      <c r="S95" s="4"/>
    </row>
  </sheetData>
  <mergeCells count="5">
    <mergeCell ref="A1:S2"/>
    <mergeCell ref="P89:Q89"/>
    <mergeCell ref="P91:Q91"/>
    <mergeCell ref="P93:Q93"/>
    <mergeCell ref="T1:T3"/>
  </mergeCell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CALCUL POIDS</vt:lpstr>
      <vt:lpstr>'CALCUL POIDS'!Zone_d_impression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JARREAU Soléne</dc:creator>
  <cp:lastModifiedBy>JARREAU Soléne</cp:lastModifiedBy>
  <cp:lastPrinted>2025-08-06T08:34:39Z</cp:lastPrinted>
  <dcterms:created xsi:type="dcterms:W3CDTF">2025-05-02T11:25:05Z</dcterms:created>
  <dcterms:modified xsi:type="dcterms:W3CDTF">2026-01-12T16:15:39Z</dcterms:modified>
</cp:coreProperties>
</file>